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d8dca7f94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b1759a6322464445"/>
    <x:sheet xmlns:r="http://schemas.openxmlformats.org/officeDocument/2006/relationships" name="Riding comparison" sheetId="2" r:id="R2a5aa45eff8d42f7"/>
    <x:sheet xmlns:r="http://schemas.openxmlformats.org/officeDocument/2006/relationships" name="Regional patterns" sheetId="3" r:id="R1d35ce84f15b4559"/>
    <x:sheet xmlns:r="http://schemas.openxmlformats.org/officeDocument/2006/relationships" name="NDP seat changes" sheetId="4" r:id="R8b1d1223dbcf470f"/>
    <x:sheet xmlns:r="http://schemas.openxmlformats.org/officeDocument/2006/relationships" name="Closest races" sheetId="5" r:id="Rbf403fbcf4434545"/>
    <x:sheet xmlns:r="http://schemas.openxmlformats.org/officeDocument/2006/relationships" name="Method and sources" sheetId="6" r:id="R41228100a60f4278"/>
    <x:sheet xmlns:r="http://schemas.openxmlformats.org/officeDocument/2006/relationships" name="Since last snapshot" sheetId="7" r:id="R39b2c0de49e5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+0.00;[Red]-0.00;0.00"/>
    <x:numFmt numFmtId="202" formatCode="#,##0;[Red](#,##0);-"/>
    <x:numFmt numFmtId="203" formatCode="#,##0;[Red](#,##0);–"/>
  </x:numFmts>
  <x:fonts count="11">
    <x:font>
      <x:sz val="11"/>
      <x:name val="Carlito"/>
    </x:font>
    <x:font>
      <x:sz val="11"/>
      <x:name val="Aptos"/>
    </x:font>
    <x:font>
      <x:b/>
      <x:sz val="19"/>
      <x:color rgb="FFFFFFFF"/>
      <x:name val="Aptos"/>
    </x:font>
    <x:font>
      <x:b/>
      <x:sz val="19"/>
      <x:color rgb="FFFFFFFF"/>
      <x:name val="Carlito"/>
    </x:font>
    <x:font>
      <x:sz val="10"/>
      <x:color rgb="FF59707C"/>
      <x:name val="Carlito"/>
    </x:font>
    <x:font>
      <x:b/>
      <x:sz val="10"/>
      <x:color rgb="FFFFFFFF"/>
      <x:name val="Carlito"/>
    </x:font>
    <x:font>
      <x:sz val="11"/>
      <x:color rgb="FF213748"/>
      <x:name val="Carlito"/>
    </x:font>
    <x:font>
      <x:b/>
      <x:sz val="17"/>
      <x:color rgb="FFFFFFFF"/>
      <x:name val="Carlito"/>
    </x:font>
    <x:font>
      <x:b/>
      <x:sz val="11"/>
      <x:color rgb="FF136D77"/>
      <x:name val="Carlito"/>
    </x:font>
    <x:font>
      <x:sz val="10"/>
      <x:color rgb="FF516573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D3C"/>
      </x:patternFill>
    </x:fill>
    <x:fill>
      <x:patternFill patternType="solid">
        <x:fgColor rgb="FFEFF5F8"/>
      </x:patternFill>
    </x:fill>
    <x:fill>
      <x:patternFill patternType="solid">
        <x:fgColor rgb="FF17313E"/>
      </x:patternFill>
    </x:fill>
    <x:fill>
      <x:patternFill patternType="solid">
        <x:fgColor rgb="FFF0F7F7"/>
      </x:patternFill>
    </x:fill>
    <x:fill>
      <x:patternFill patternType="solid">
        <x:fgColor rgb="FFEAF3F7"/>
      </x:patternFill>
    </x:fill>
    <x:fill>
      <x:patternFill patternType="solid">
        <x:fgColor rgb="FFF4F9F5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6" fillId="0" borderId="0" xfId="0" applyNumberFormat="1" applyFont="1" applyFill="1" applyBorder="1"/>
    <x:xf numFmtId="200" fontId="6" fillId="0" borderId="0" xfId="0" applyNumberFormat="1" applyFont="1" applyFill="1" applyBorder="1"/>
    <x:xf numFmtId="202" fontId="6" fillId="0" borderId="1" xfId="0" applyNumberFormat="1" applyFont="1" applyFill="1" applyBorder="1"/>
    <x:xf numFmtId="200" fontId="6" fillId="0" borderId="1" xfId="0" applyNumberFormat="1" applyFont="1" applyFill="1" applyBorder="1"/>
    <x:xf numFmtId="202" fontId="6" fillId="3" borderId="0" xfId="0" applyNumberFormat="1" applyFont="1" applyFill="1" applyBorder="1"/>
    <x:xf numFmtId="202" fontId="6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3" fontId="0" fillId="0" borderId="0" xfId="0" applyNumberFormat="1" applyFont="1" applyFill="1" applyBorder="1"/>
    <x:xf numFmtId="0" fontId="10" fillId="4" borderId="0" xfId="0" applyNumberFormat="1" applyFont="1" applyFill="1" applyBorder="1"/>
  </x:cellXfs>
  <x:cellStyles count="1">
    <x:cellStyle name="Normal" xfId="0"/>
  </x:cellStyles>
  <x:dxfs count="2">
    <x:dxf>
      <x:font>
        <x:color rgb="FF974D13"/>
      </x:font>
      <x:fill>
        <x:patternFill>
          <x:bgColor rgb="FFFFF0D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cfbf9843d4fc1" /><Relationship Type="http://schemas.openxmlformats.org/officeDocument/2006/relationships/theme" Target="/xl/theme/theme1.xml" Id="Rd90b72943fcc40bc" /><Relationship Type="http://schemas.openxmlformats.org/officeDocument/2006/relationships/sharedStrings" Target="/xl/sharedStrings.xml" Id="Rcceb5abc9bf444af" /><Relationship Type="http://schemas.openxmlformats.org/officeDocument/2006/relationships/worksheet" Target="/xl/worksheets/sheet1.xml" Id="Rb1759a6322464445" /><Relationship Type="http://schemas.openxmlformats.org/officeDocument/2006/relationships/worksheet" Target="/xl/worksheets/sheet2.xml" Id="R2a5aa45eff8d42f7" /><Relationship Type="http://schemas.openxmlformats.org/officeDocument/2006/relationships/worksheet" Target="/xl/worksheets/sheet3.xml" Id="R1d35ce84f15b4559" /><Relationship Type="http://schemas.openxmlformats.org/officeDocument/2006/relationships/worksheet" Target="/xl/worksheets/sheet4.xml" Id="R8b1d1223dbcf470f" /><Relationship Type="http://schemas.openxmlformats.org/officeDocument/2006/relationships/worksheet" Target="/xl/worksheets/sheet5.xml" Id="Rbf403fbcf4434545" /><Relationship Type="http://schemas.openxmlformats.org/officeDocument/2006/relationships/worksheet" Target="/xl/worksheets/sheet6.xml" Id="R41228100a60f4278" /><Relationship Type="http://schemas.openxmlformats.org/officeDocument/2006/relationships/worksheet" Target="/xl/worksheets/sheet7.xml" Id="R39b2c0de49e5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1" hidden="0" customWidth="1"/>
    <x:col min="3" max="3" width="21" hidden="0" customWidth="1"/>
    <x:col min="4" max="4" width="38" hidden="0" customWidth="1"/>
    <x:col min="5" max="5" width="22" hidden="0" customWidth="1"/>
  </x:cols>
  <x:sheetData>
    <x:row r="1" ht="23" customHeight="1">
      <x:c r="A1" s="8" t="str">
        <x:v>2026 BC provincial election | Preliminary riding analysis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3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6" customHeight="1">
      <x:c r="A3" s="18" t="str">
        <x:v>PRELIMINARY INITIAL COUNT • Elections BC data: 26 Oct 2026, 10:34 (site timestamp) • rechecked 27 Oct: NO NEW DATA • final count planned 6-10 Nov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5" ht="34" customHeight="1">
      <x:c r="A5" s="24" t="str">
        <x:v>METRIC</x:v>
      </x:c>
      <x:c r="B5" s="24" t="str">
        <x:v>2024 certified</x:v>
      </x:c>
      <x:c r="C5" s="24" t="str">
        <x:v>2026 preliminary</x:v>
      </x:c>
    </x:row>
    <x:row r="6" ht="24" customHeight="1">
      <x:c r="A6" s="16" t="str">
        <x:v>Valid votes</x:v>
      </x:c>
      <x:c r="B6" s="38" t="n">
        <x:f>SUM('Riding comparison'!G6:G98)</x:f>
        <x:v>2105341</x:v>
      </x:c>
      <x:c r="C6" s="38" t="n">
        <x:f>SUM('Riding comparison'!O6:O98)</x:f>
        <x:v>1795133</x:v>
      </x:c>
    </x:row>
    <x:row r="7" ht="24" customHeight="1">
      <x:c r="A7" t="str">
        <x:v>Total ballots considered</x:v>
      </x:c>
      <x:c r="B7" s="34" t="n">
        <x:f>SUM('Riding comparison'!H6:H98)</x:f>
        <x:v>2109658</x:v>
      </x:c>
      <x:c r="C7" s="34" t="n">
        <x:f>SUM('Riding comparison'!P6:P98)</x:f>
        <x:v>1799550</x:v>
      </x:c>
    </x:row>
    <x:row r="8" ht="24" customHeight="1">
      <x:c r="A8" s="16" t="str">
        <x:v>Registered voters (different dates)</x:v>
      </x:c>
      <x:c r="B8" s="38" t="n">
        <x:f>SUM('Riding comparison'!I6:I98)</x:f>
        <x:v>3609288</x:v>
      </x:c>
      <x:c r="C8" s="38" t="n">
        <x:v>3738182</x:v>
      </x:c>
    </x:row>
    <x:row r="9" ht="24" customHeight="1">
      <x:c r="A9" t="str">
        <x:v>Province-wide participation</x:v>
      </x:c>
      <x:c r="B9" s="35" t="n">
        <x:f>B7/B8</x:f>
        <x:v>0.5845080802640299</x:v>
      </x:c>
      <x:c r="C9" s="35" t="n">
        <x:f>C7/C8</x:f>
        <x:v>0.4813971069359384</x:v>
      </x:c>
    </x:row>
    <x:row r="10" ht="24" customHeight="1">
      <x:c r="A10" s="16" t="str">
        <x:v>NDP votes</x:v>
      </x:c>
      <x:c r="B10" s="38" t="n">
        <x:f>SUM('Riding comparison'!C6:C98)</x:f>
        <x:v>944579</x:v>
      </x:c>
      <x:c r="C10" s="38" t="n">
        <x:f>SUM('Riding comparison'!K6:K98)</x:f>
        <x:v>670811</x:v>
      </x:c>
    </x:row>
    <x:row r="11" ht="24" customHeight="1">
      <x:c r="A11" t="str">
        <x:v>NDP share</x:v>
      </x:c>
      <x:c r="B11" s="35" t="n">
        <x:f>B10/B6</x:f>
        <x:v>0.4486584358543343</x:v>
      </x:c>
      <x:c r="C11" s="35" t="n">
        <x:f>C10/C6</x:f>
        <x:v>0.3736831755641504</x:v>
      </x:c>
    </x:row>
    <x:row r="12" ht="24" customHeight="1">
      <x:c r="A12" s="16" t="str">
        <x:v>Conservative votes</x:v>
      </x:c>
      <x:c r="B12" s="38" t="n">
        <x:f>SUM('Riding comparison'!D6:D98)</x:f>
        <x:v>911153</x:v>
      </x:c>
      <x:c r="C12" s="38" t="n">
        <x:f>SUM('Riding comparison'!L6:L98)</x:f>
        <x:v>862688</x:v>
      </x:c>
    </x:row>
    <x:row r="13" ht="24" customHeight="1">
      <x:c r="A13" t="str">
        <x:v>Conservative share</x:v>
      </x:c>
      <x:c r="B13" s="35" t="n">
        <x:f>B12/B6</x:f>
        <x:v>0.43278167289764463</x:v>
      </x:c>
      <x:c r="C13" s="35" t="n">
        <x:f>C12/C6</x:f>
        <x:v>0.4805705204015524</x:v>
      </x:c>
    </x:row>
    <x:row r="14" ht="24" customHeight="1">
      <x:c r="A14" s="16" t="str">
        <x:v>Green votes</x:v>
      </x:c>
      <x:c r="B14" s="38" t="n">
        <x:f>SUM('Riding comparison'!E6:E98)</x:f>
        <x:v>173377</x:v>
      </x:c>
      <x:c r="C14" s="38" t="n">
        <x:f>SUM('Riding comparison'!M6:M98)</x:f>
        <x:v>196896</x:v>
      </x:c>
    </x:row>
    <x:row r="15" ht="24" customHeight="1">
      <x:c r="A15" t="str">
        <x:v>Green share</x:v>
      </x:c>
      <x:c r="B15" s="35" t="n">
        <x:f>B14/B6</x:f>
        <x:v>0.08235103007066313</x:v>
      </x:c>
      <x:c r="C15" s="35" t="n">
        <x:f>C14/C6</x:f>
        <x:v>0.10968323795507073</x:v>
      </x:c>
    </x:row>
    <x:row r="16" ht="24" customHeight="1">
      <x:c r="A16" s="16" t="str">
        <x:v>NDP ridings leading</x:v>
      </x:c>
      <x:c r="B16" s="38" t="n">
        <x:f>COUNTIF('Riding comparison'!AC6:AC98,"NDP")</x:f>
        <x:v>47</x:v>
      </x:c>
      <x:c r="C16" s="38" t="n">
        <x:f>COUNTIF('Riding comparison'!AD6:AD98,"NDP")</x:f>
        <x:v>28</x:v>
      </x:c>
    </x:row>
    <x:row r="17" ht="24" customHeight="1">
      <x:c r="A17" t="str">
        <x:v>Conservative ridings leading</x:v>
      </x:c>
      <x:c r="B17" s="34" t="n">
        <x:f>COUNTIF('Riding comparison'!AC6:AC98,"Conservative")</x:f>
        <x:v>44</x:v>
      </x:c>
      <x:c r="C17" s="34" t="n">
        <x:f>COUNTIF('Riding comparison'!AD6:AD98,"Conservative")</x:f>
        <x:v>63</x:v>
      </x:c>
    </x:row>
    <x:row r="18" ht="24" customHeight="1">
      <x:c r="A18" s="16" t="str">
        <x:v>Green ridings leading</x:v>
      </x:c>
      <x:c r="B18" s="38" t="n">
        <x:f>COUNTIF('Riding comparison'!AC6:AC98,"Green")</x:f>
        <x:v>2</x:v>
      </x:c>
      <x:c r="C18" s="38" t="n">
        <x:f>COUNTIF('Riding comparison'!AD6:AD98,"Green")</x:f>
        <x:v>2</x:v>
      </x:c>
    </x:row>
    <x:row r="21" ht="34" customHeight="1">
      <x:c r="A21" s="24" t="str">
        <x:v>BIG PICTURE</x:v>
      </x:c>
      <x:c r="B21" s="24" t="str">
        <x:v>Value</x:v>
      </x:c>
      <x:c r="C21" s="24" t="str">
        <x:v>Definition</x:v>
      </x:c>
      <x:c r="D21" s="24" t="str">
        <x:v>Readout</x:v>
      </x:c>
    </x:row>
    <x:row r="22">
      <x:c r="A22" t="str">
        <x:v>NDP share change (pp)</x:v>
      </x:c>
      <x:c r="B22" s="30" t="n">
        <x:f>100*(C11-B11)</x:f>
        <x:v>-7.4975260290183865</x:v>
      </x:c>
      <x:c r="C22" t="str">
        <x:v>2026 minus 2024 share</x:v>
      </x:c>
      <x:c r="D22" t="str">
        <x:v>Negative = NDP decline</x:v>
      </x:c>
    </x:row>
    <x:row r="23">
      <x:c r="A23" t="str">
        <x:v>NDP leads changed (net)</x:v>
      </x:c>
      <x:c r="B23" t="n">
        <x:f>C16-B16</x:f>
        <x:v>-19</x:v>
      </x:c>
      <x:c r="C23" t="str">
        <x:v>Current NDP leads minus 2024 wins</x:v>
      </x:c>
      <x:c r="D23" t="str">
        <x:v>Not certified seats</x:v>
      </x:c>
    </x:row>
    <x:row r="24">
      <x:c r="A24" t="str">
        <x:v>Conservative share change (pp)</x:v>
      </x:c>
      <x:c r="B24" s="30" t="n">
        <x:f>100*(C13-B13)</x:f>
        <x:v>4.778884750390777</x:v>
      </x:c>
      <x:c r="C24" t="str">
        <x:v>2026 minus 2024 share</x:v>
      </x:c>
      <x:c r="D24" t="str">
        <x:v>Does not prove voter transfers</x:v>
      </x:c>
    </x:row>
    <x:row r="25">
      <x:c r="A25" t="str">
        <x:v>Green share change (pp)</x:v>
      </x:c>
      <x:c r="B25" s="30" t="n">
        <x:f>100*(C15-B15)</x:f>
        <x:v>2.73322078844076</x:v>
      </x:c>
      <x:c r="C25" t="str">
        <x:v>2026 minus 2024 share</x:v>
      </x:c>
      <x:c r="D25" t="str">
        <x:v>Candidate coverage varies</x:v>
      </x:c>
    </x:row>
    <x:row r="26">
      <x:c r="A26" t="str">
        <x:v>Change in counted ballots</x:v>
      </x:c>
      <x:c r="B26" t="n">
        <x:f>C7-B7</x:f>
        <x:v>-310108</x:v>
      </x:c>
      <x:c r="C26" t="str">
        <x:v>2026 preliminary minus 2024 final</x:v>
      </x:c>
      <x:c r="D26" t="str">
        <x:v>Final ballots remain uncounted</x:v>
      </x:c>
    </x:row>
    <x:row r="27">
      <x:c r="A27" t="str">
        <x:v>Ridings with NDP share decline</x:v>
      </x:c>
      <x:c r="B27" t="n">
        <x:f>COUNTIF('Riding comparison'!S6:S98,"&lt;0")</x:f>
        <x:v>83</x:v>
      </x:c>
      <x:c r="C27" t="str">
        <x:v>Of 93 ridings</x:v>
      </x:c>
      <x:c r="D27" t="str">
        <x:v>Party share, not absolute votes</x:v>
      </x:c>
    </x:row>
    <x:row r="28">
      <x:c r="A28" t="str">
        <x:v>Ridings with fewer ballots counted</x:v>
      </x:c>
      <x:c r="B28" t="n">
        <x:f>COUNTIF('Riding comparison'!AA6:AA98,"&lt;0")</x:f>
        <x:v>93</x:v>
      </x:c>
      <x:c r="C28" t="str">
        <x:v>Of 93 ridings</x:v>
      </x:c>
      <x:c r="D28" t="str">
        <x:v>Not a 2026 riding turnout rate</x:v>
      </x:c>
    </x:row>
    <x:row r="29">
      <x:c r="A29" t="str">
        <x:v>Races within 500 votes</x:v>
      </x:c>
      <x:c r="B29" t="n">
        <x:f>COUNTIF('Riding comparison'!AF6:AF98,"&lt;=500")</x:f>
        <x:v>10</x:v>
      </x:c>
      <x:c r="C29" t="str">
        <x:v>Preliminary leading margin</x:v>
      </x:c>
      <x:c r="D29" t="str">
        <x:v>Particular final-count sensitivity</x:v>
      </x:c>
    </x:row>
    <x:row r="32" ht="34" customHeight="1">
      <x:c r="A32" s="24" t="str">
        <x:v>ANALYSIS CHECKLIST</x:v>
      </x:c>
      <x:c r="B32" s="24" t="str">
        <x:v>Status</x:v>
      </x:c>
      <x:c r="C32" s="24" t="str">
        <x:v>Data caveat</x:v>
      </x:c>
      <x:c r="D32" s="24" t="str">
        <x:v>Next action</x:v>
      </x:c>
      <x:c r="E32" s="24" t="str">
        <x:v>Deadline</x:v>
      </x:c>
    </x:row>
    <x:row r="33">
      <x:c r="A33" t="str">
        <x:v>All ridings</x:v>
      </x:c>
      <x:c r="B33" t="str">
        <x:v>93 / 93 initial count</x:v>
      </x:c>
      <x:c r="C33" t="str">
        <x:v>All ballots boxes counted; not verified</x:v>
      </x:c>
      <x:c r="D33" t="str">
        <x:v>Re-download 2026 initial/final count</x:v>
      </x:c>
      <x:c r="E33" t="str">
        <x:v>After 6–10 Nov</x:v>
      </x:c>
    </x:row>
    <x:row r="34">
      <x:c r="A34" t="str">
        <x:v>2024 comparison</x:v>
      </x:c>
      <x:c r="B34" t="str">
        <x:v>Certified</x:v>
      </x:c>
      <x:c r="C34" t="str">
        <x:v>Same 93 district names</x:v>
      </x:c>
      <x:c r="D34" t="str">
        <x:v>Check revised boundaries only if changes documented</x:v>
      </x:c>
      <x:c r="E34" t="str">
        <x:v>At final report</x:v>
      </x:c>
    </x:row>
    <x:row r="35">
      <x:c r="A35" t="str">
        <x:v>2026 participation</x:v>
      </x:c>
      <x:c r="B35" t="str">
        <x:v>Province-wide only</x:v>
      </x:c>
      <x:c r="C35" t="str">
        <x:v>No 2026 district electorate in this dataset</x:v>
      </x:c>
      <x:c r="D35" t="str">
        <x:v>Do not label district ballot declines as turnout</x:v>
      </x:c>
      <x:c r="E35" t="str">
        <x:v>At final report</x:v>
      </x:c>
    </x:row>
    <x:row r="36">
      <x:c r="A36" t="str">
        <x:v>Candidate coverage</x:v>
      </x:c>
      <x:c r="B36" t="str">
        <x:v>Varies</x:v>
      </x:c>
      <x:c r="C36" t="str">
        <x:v>Absent party = 0; shares not direct transfers</x:v>
      </x:c>
      <x:c r="D36" t="str">
        <x:v>Review local candidate effects</x:v>
      </x:c>
      <x:c r="E36" t="str">
        <x:v>At final report</x:v>
      </x:c>
    </x:row>
    <x:row r="37">
      <x:c r="A37" t="str">
        <x:v>Swing and flips</x:v>
      </x:c>
      <x:c r="B37" t="str">
        <x:v>Preliminary</x:v>
      </x:c>
      <x:c r="C37" t="str">
        <x:v>Future mail/absentee count can change leads</x:v>
      </x:c>
      <x:c r="D37" t="str">
        <x:v>Recalculate with 2026 certified data</x:v>
      </x:c>
      <x:c r="E37" t="str">
        <x:v>After final declaration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3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4" hidden="0" customWidth="1"/>
    <x:col min="27" max="27" width="14" hidden="0" customWidth="1"/>
    <x:col min="28" max="28" width="14" hidden="0" customWidth="1"/>
    <x:col min="29" max="29" width="17" hidden="0" customWidth="1"/>
    <x:col min="30" max="30" width="17" hidden="0" customWidth="1"/>
    <x:col min="31" max="31" width="17" hidden="0" customWidth="1"/>
    <x:col min="32" max="32" width="15" hidden="0" customWidth="1"/>
    <x:col min="33" max="33" width="15" hidden="0" customWidth="1"/>
    <x:col min="34" max="34" width="36" hidden="0" customWidth="1"/>
    <x:col min="35" max="35" width="52" hidden="0" customWidth="1"/>
    <x:col min="36" max="36" width="52" hidden="0" customWidth="1"/>
  </x:cols>
  <x:sheetData>
    <x:row r="1" ht="23" customHeight="1">
      <x:c r="A1" s="8" t="str">
        <x:v>BC riding-by-riding | 2024 final vs 2026 preliminary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23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 ht="26" customHeight="1">
      <x:c r="A3" s="18" t="str">
        <x:v>Latest official snapshot: 26 Oct 2026, 10:34 (site timestamp) • verified 27 Oct: same data • NDP/Con/Green shares use valid votes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5" ht="34" customHeight="1">
      <x:c r="A5" s="24" t="str">
        <x:v>Electoral district</x:v>
      </x:c>
      <x:c r="B5" s="24" t="str">
        <x:v>Area group</x:v>
      </x:c>
      <x:c r="C5" s="24" t="str">
        <x:v>2024 NDP</x:v>
      </x:c>
      <x:c r="D5" s="24" t="str">
        <x:v>2024 Con</x:v>
      </x:c>
      <x:c r="E5" s="24" t="str">
        <x:v>2024 Green</x:v>
      </x:c>
      <x:c r="F5" s="24" t="str">
        <x:v>2024 Other</x:v>
      </x:c>
      <x:c r="G5" s="24" t="str">
        <x:v>2024 valid</x:v>
      </x:c>
      <x:c r="H5" s="24" t="str">
        <x:v>2024 ballots</x:v>
      </x:c>
      <x:c r="I5" s="24" t="str">
        <x:v>2024 registered</x:v>
      </x:c>
      <x:c r="J5" s="24" t="str">
        <x:v>2024 turnout</x:v>
      </x:c>
      <x:c r="K5" s="24" t="str">
        <x:v>2026 NDP</x:v>
      </x:c>
      <x:c r="L5" s="24" t="str">
        <x:v>2026 Con</x:v>
      </x:c>
      <x:c r="M5" s="24" t="str">
        <x:v>2026 Green</x:v>
      </x:c>
      <x:c r="N5" s="24" t="str">
        <x:v>2026 Other</x:v>
      </x:c>
      <x:c r="O5" s="24" t="str">
        <x:v>2026 valid</x:v>
      </x:c>
      <x:c r="P5" s="24" t="str">
        <x:v>2026 ballots</x:v>
      </x:c>
      <x:c r="Q5" s="24" t="str">
        <x:v>NDP 2024 %</x:v>
      </x:c>
      <x:c r="R5" s="24" t="str">
        <x:v>NDP 2026 %</x:v>
      </x:c>
      <x:c r="S5" s="24" t="str">
        <x:v>NDP change (pp)</x:v>
      </x:c>
      <x:c r="T5" s="24" t="str">
        <x:v>Con 2024 %</x:v>
      </x:c>
      <x:c r="U5" s="24" t="str">
        <x:v>Con 2026 %</x:v>
      </x:c>
      <x:c r="V5" s="24" t="str">
        <x:v>Con change (pp)</x:v>
      </x:c>
      <x:c r="W5" s="24" t="str">
        <x:v>Green 2024 %</x:v>
      </x:c>
      <x:c r="X5" s="24" t="str">
        <x:v>Green 2026 %</x:v>
      </x:c>
      <x:c r="Y5" s="24" t="str">
        <x:v>Green change (pp)</x:v>
      </x:c>
      <x:c r="Z5" s="24" t="str">
        <x:v>NDP vote change</x:v>
      </x:c>
      <x:c r="AA5" s="24" t="str">
        <x:v>Ballot change</x:v>
      </x:c>
      <x:c r="AB5" s="24" t="str">
        <x:v>Ballots % change</x:v>
      </x:c>
      <x:c r="AC5" s="24" t="str">
        <x:v>2024 leader</x:v>
      </x:c>
      <x:c r="AD5" s="24" t="str">
        <x:v>2026 leader</x:v>
      </x:c>
      <x:c r="AE5" s="24" t="str">
        <x:v>Lead changed?</x:v>
      </x:c>
      <x:c r="AF5" s="24" t="str">
        <x:v>2026 lead margin</x:v>
      </x:c>
      <x:c r="AG5" s="24" t="str">
        <x:v>2026 rejected</x:v>
      </x:c>
      <x:c r="AH5" s="24" t="str">
        <x:v>Notes</x:v>
      </x:c>
      <x:c r="AI5" s="24" t="str">
        <x:v>2024 source</x:v>
      </x:c>
      <x:c r="AJ5" s="24" t="str">
        <x:v>2026 source</x:v>
      </x:c>
    </x:row>
    <x:row r="6" ht="19" customHeight="1">
      <x:c r="A6" t="str">
        <x:v>Abbotsford-Mission</x:v>
      </x:c>
      <x:c r="B6" t="str">
        <x:v>Fraser Valley / Ridge / Langley</x:v>
      </x:c>
      <x:c r="C6" s="32" t="n">
        <x:v>10894</x:v>
      </x:c>
      <x:c r="D6" s="32" t="n">
        <x:v>13523</x:v>
      </x:c>
      <x:c r="E6" s="32" t="n">
        <x:v>0</x:v>
      </x:c>
      <x:c r="F6" s="32" t="n">
        <x:v>0</x:v>
      </x:c>
      <x:c r="G6" s="32" t="n">
        <x:v>24417</x:v>
      </x:c>
      <x:c r="H6" s="32" t="n">
        <x:v>24515</x:v>
      </x:c>
      <x:c r="I6" s="32" t="n">
        <x:v>42692</x:v>
      </x:c>
      <x:c r="J6" s="28" t="n">
        <x:f>H6/I6</x:f>
        <x:v>0.5742293638152347</x:v>
      </x:c>
      <x:c r="K6" s="32" t="n">
        <x:v>7486</x:v>
      </x:c>
      <x:c r="L6" s="32" t="n">
        <x:v>11848</x:v>
      </x:c>
      <x:c r="M6" s="32" t="n">
        <x:v>0</x:v>
      </x:c>
      <x:c r="N6" s="32" t="n">
        <x:v>1568</x:v>
      </x:c>
      <x:c r="O6" s="32" t="n">
        <x:v>20902</x:v>
      </x:c>
      <x:c r="P6" s="32" t="n">
        <x:v>20948</x:v>
      </x:c>
      <x:c r="Q6" s="28" t="n">
        <x:f>C6/G6</x:f>
        <x:v>0.446164557480444</x:v>
      </x:c>
      <x:c r="R6" s="28" t="n">
        <x:f>K6/O6</x:f>
        <x:v>0.3581475456894077</x:v>
      </x:c>
      <x:c r="S6" s="30" t="n">
        <x:f>(R6-Q6)*100</x:f>
        <x:v>-8.801701179103627</x:v>
      </x:c>
      <x:c r="T6" s="28" t="n">
        <x:f>D6/G6</x:f>
        <x:v>0.5538354425195561</x:v>
      </x:c>
      <x:c r="U6" s="28" t="n">
        <x:f>L6/O6</x:f>
        <x:v>0.5668357095014831</x:v>
      </x:c>
      <x:c r="V6" s="30" t="n">
        <x:f>(U6-T6)*100</x:f>
        <x:v>1.3000266981927022</x:v>
      </x:c>
      <x:c r="W6" s="28" t="n">
        <x:f>E6/G6</x:f>
        <x:v>0</x:v>
      </x:c>
      <x:c r="X6" s="28" t="n">
        <x:f>M6/O6</x:f>
        <x:v>0</x:v>
      </x:c>
      <x:c r="Y6" s="30" t="n">
        <x:f>(X6-W6)*100</x:f>
        <x:v>0</x:v>
      </x:c>
      <x:c r="Z6" s="32" t="n">
        <x:f>K6-C6</x:f>
        <x:v>-3408</x:v>
      </x:c>
      <x:c r="AA6" s="32" t="n">
        <x:f>P6-H6</x:f>
        <x:v>-3567</x:v>
      </x:c>
      <x:c r="AB6" s="28" t="n">
        <x:f>P6/H6-1</x:f>
        <x:v>-0.14550275341627572</x:v>
      </x:c>
      <x:c r="AC6" t="str">
        <x:f>IF(C6=MAX(C6:F6),"NDP",IF(D6=MAX(C6:F6),"Conservative",IF(E6=MAX(C6:F6),"Green","Other")))</x:f>
        <x:v>Conservative</x:v>
      </x:c>
      <x:c r="AD6" t="str">
        <x:f>IF(K6=MAX(K6:N6),"NDP",IF(L6=MAX(K6:N6),"Conservative",IF(M6=MAX(K6:N6),"Green","Other")))</x:f>
        <x:v>Conservative</x:v>
      </x:c>
      <x:c r="AE6" t="str">
        <x:f>IF(AC6=AD6,"No","Yes")</x:f>
        <x:v>No</x:v>
      </x:c>
      <x:c r="AF6" s="32" t="n">
        <x:f>LARGE(K6:N6,1)-LARGE(K6:N6,2)</x:f>
        <x:v>4362</x:v>
      </x:c>
      <x:c r="AG6" s="32" t="n">
        <x:f>P6-O6</x:f>
        <x:v>46</x:v>
      </x:c>
      <x:c r="AH6" t="str">
        <x:v>—</x:v>
      </x:c>
      <x:c r="AI6" t="str">
        <x:v>https://elections.bc.ca/docs/rpt/statement-of-votes-2024-provincial-election.pdf</x:v>
      </x:c>
      <x:c r="AJ6" t="str">
        <x:v>https://results.elections.bc.ca/</x:v>
      </x:c>
    </x:row>
    <x:row r="7" ht="19" customHeight="1">
      <x:c r="A7" t="str">
        <x:v>Abbotsford South</x:v>
      </x:c>
      <x:c r="B7" t="str">
        <x:v>Fraser Valley / Ridge / Langley</x:v>
      </x:c>
      <x:c r="C7" s="32" t="n">
        <x:v>7454</x:v>
      </x:c>
      <x:c r="D7" s="32" t="n">
        <x:v>13053</x:v>
      </x:c>
      <x:c r="E7" s="32" t="n">
        <x:v>0</x:v>
      </x:c>
      <x:c r="F7" s="32" t="n">
        <x:v>681</x:v>
      </x:c>
      <x:c r="G7" s="32" t="n">
        <x:v>21188</x:v>
      </x:c>
      <x:c r="H7" s="32" t="n">
        <x:v>21242</x:v>
      </x:c>
      <x:c r="I7" s="32" t="n">
        <x:v>41068</x:v>
      </x:c>
      <x:c r="J7" s="28" t="n">
        <x:f>H7/I7</x:f>
        <x:v>0.51723970000974</x:v>
      </x:c>
      <x:c r="K7" s="32" t="n">
        <x:v>5201</x:v>
      </x:c>
      <x:c r="L7" s="32" t="n">
        <x:v>11023</x:v>
      </x:c>
      <x:c r="M7" s="32" t="n">
        <x:v>0</x:v>
      </x:c>
      <x:c r="N7" s="32" t="n">
        <x:v>1145</x:v>
      </x:c>
      <x:c r="O7" s="32" t="n">
        <x:v>17369</x:v>
      </x:c>
      <x:c r="P7" s="32" t="n">
        <x:v>17423</x:v>
      </x:c>
      <x:c r="Q7" s="28" t="n">
        <x:f>C7/G7</x:f>
        <x:v>0.35180290730602226</x:v>
      </x:c>
      <x:c r="R7" s="28" t="n">
        <x:f>K7/O7</x:f>
        <x:v>0.29944153376705623</x:v>
      </x:c>
      <x:c r="S7" s="30" t="n">
        <x:f>(R7-Q7)*100</x:f>
        <x:v>-5.236137353896603</x:v>
      </x:c>
      <x:c r="T7" s="28" t="n">
        <x:f>D7/G7</x:f>
        <x:v>0.6160562582593921</x:v>
      </x:c>
      <x:c r="U7" s="28" t="n">
        <x:f>L7/O7</x:f>
        <x:v>0.6346364212102021</x:v>
      </x:c>
      <x:c r="V7" s="30" t="n">
        <x:f>(U7-T7)*100</x:f>
        <x:v>1.8580162950809997</x:v>
      </x:c>
      <x:c r="W7" s="28" t="n">
        <x:f>E7/G7</x:f>
        <x:v>0</x:v>
      </x:c>
      <x:c r="X7" s="28" t="n">
        <x:f>M7/O7</x:f>
        <x:v>0</x:v>
      </x:c>
      <x:c r="Y7" s="30" t="n">
        <x:f>(X7-W7)*100</x:f>
        <x:v>0</x:v>
      </x:c>
      <x:c r="Z7" s="32" t="n">
        <x:f>K7-C7</x:f>
        <x:v>-2253</x:v>
      </x:c>
      <x:c r="AA7" s="32" t="n">
        <x:f>P7-H7</x:f>
        <x:v>-3819</x:v>
      </x:c>
      <x:c r="AB7" s="28" t="n">
        <x:f>P7/H7-1</x:f>
        <x:v>-0.17978533094812166</x:v>
      </x:c>
      <x:c r="AC7" t="str">
        <x:f>IF(C7=MAX(C7:F7),"NDP",IF(D7=MAX(C7:F7),"Conservative",IF(E7=MAX(C7:F7),"Green","Other")))</x:f>
        <x:v>Conservative</x:v>
      </x:c>
      <x:c r="AD7" t="str">
        <x:f>IF(K7=MAX(K7:N7),"NDP",IF(L7=MAX(K7:N7),"Conservative",IF(M7=MAX(K7:N7),"Green","Other")))</x:f>
        <x:v>Conservative</x:v>
      </x:c>
      <x:c r="AE7" t="str">
        <x:f>IF(AC7=AD7,"No","Yes")</x:f>
        <x:v>No</x:v>
      </x:c>
      <x:c r="AF7" s="32" t="n">
        <x:f>LARGE(K7:N7,1)-LARGE(K7:N7,2)</x:f>
        <x:v>5822</x:v>
      </x:c>
      <x:c r="AG7" s="32" t="n">
        <x:f>P7-O7</x:f>
        <x:v>54</x:v>
      </x:c>
      <x:c r="AH7" t="str">
        <x:v>—</x:v>
      </x:c>
      <x:c r="AI7" t="str">
        <x:v>https://elections.bc.ca/docs/rpt/statement-of-votes-2024-provincial-election.pdf</x:v>
      </x:c>
      <x:c r="AJ7" t="str">
        <x:v>https://results.elections.bc.ca/</x:v>
      </x:c>
    </x:row>
    <x:row r="8" ht="19" customHeight="1">
      <x:c r="A8" t="str">
        <x:v>Abbotsford West</x:v>
      </x:c>
      <x:c r="B8" t="str">
        <x:v>Fraser Valley / Ridge / Langley</x:v>
      </x:c>
      <x:c r="C8" s="32" t="n">
        <x:v>7255</x:v>
      </x:c>
      <x:c r="D8" s="32" t="n">
        <x:v>11483</x:v>
      </x:c>
      <x:c r="E8" s="32" t="n">
        <x:v>0</x:v>
      </x:c>
      <x:c r="F8" s="32" t="n">
        <x:v>940</x:v>
      </x:c>
      <x:c r="G8" s="32" t="n">
        <x:v>19678</x:v>
      </x:c>
      <x:c r="H8" s="32" t="n">
        <x:v>19725</x:v>
      </x:c>
      <x:c r="I8" s="32" t="n">
        <x:v>37833</x:v>
      </x:c>
      <x:c r="J8" s="28" t="n">
        <x:f>H8/I8</x:f>
        <x:v>0.5213702323368488</x:v>
      </x:c>
      <x:c r="K8" s="32" t="n">
        <x:v>4517</x:v>
      </x:c>
      <x:c r="L8" s="32" t="n">
        <x:v>9696</x:v>
      </x:c>
      <x:c r="M8" s="32" t="n">
        <x:v>0</x:v>
      </x:c>
      <x:c r="N8" s="32" t="n">
        <x:v>1442</x:v>
      </x:c>
      <x:c r="O8" s="32" t="n">
        <x:v>15655</x:v>
      </x:c>
      <x:c r="P8" s="32" t="n">
        <x:v>15705</x:v>
      </x:c>
      <x:c r="Q8" s="28" t="n">
        <x:f>C8/G8</x:f>
        <x:v>0.36868584205711963</x:v>
      </x:c>
      <x:c r="R8" s="28" t="n">
        <x:f>K8/O8</x:f>
        <x:v>0.28853401469179174</x:v>
      </x:c>
      <x:c r="S8" s="30" t="n">
        <x:f>(R8-Q8)*100</x:f>
        <x:v>-8.01518273653279</x:v>
      </x:c>
      <x:c r="T8" s="28" t="n">
        <x:f>D8/G8</x:f>
        <x:v>0.5835450757190771</x:v>
      </x:c>
      <x:c r="U8" s="28" t="n">
        <x:f>L8/O8</x:f>
        <x:v>0.6193548387096774</x:v>
      </x:c>
      <x:c r="V8" s="30" t="n">
        <x:f>(U8-T8)*100</x:f>
        <x:v>3.5809762990600347</x:v>
      </x:c>
      <x:c r="W8" s="28" t="n">
        <x:f>E8/G8</x:f>
        <x:v>0</x:v>
      </x:c>
      <x:c r="X8" s="28" t="n">
        <x:f>M8/O8</x:f>
        <x:v>0</x:v>
      </x:c>
      <x:c r="Y8" s="30" t="n">
        <x:f>(X8-W8)*100</x:f>
        <x:v>0</x:v>
      </x:c>
      <x:c r="Z8" s="32" t="n">
        <x:f>K8-C8</x:f>
        <x:v>-2738</x:v>
      </x:c>
      <x:c r="AA8" s="32" t="n">
        <x:f>P8-H8</x:f>
        <x:v>-4020</x:v>
      </x:c>
      <x:c r="AB8" s="28" t="n">
        <x:f>P8/H8-1</x:f>
        <x:v>-0.20380228136882128</x:v>
      </x:c>
      <x:c r="AC8" t="str">
        <x:f>IF(C8=MAX(C8:F8),"NDP",IF(D8=MAX(C8:F8),"Conservative",IF(E8=MAX(C8:F8),"Green","Other")))</x:f>
        <x:v>Conservative</x:v>
      </x:c>
      <x:c r="AD8" t="str">
        <x:f>IF(K8=MAX(K8:N8),"NDP",IF(L8=MAX(K8:N8),"Conservative",IF(M8=MAX(K8:N8),"Green","Other")))</x:f>
        <x:v>Conservative</x:v>
      </x:c>
      <x:c r="AE8" t="str">
        <x:f>IF(AC8=AD8,"No","Yes")</x:f>
        <x:v>No</x:v>
      </x:c>
      <x:c r="AF8" s="32" t="n">
        <x:f>LARGE(K8:N8,1)-LARGE(K8:N8,2)</x:f>
        <x:v>5179</x:v>
      </x:c>
      <x:c r="AG8" s="32" t="n">
        <x:f>P8-O8</x:f>
        <x:v>50</x:v>
      </x:c>
      <x:c r="AH8" t="str">
        <x:v>—</x:v>
      </x:c>
      <x:c r="AI8" t="str">
        <x:v>https://elections.bc.ca/docs/rpt/statement-of-votes-2024-provincial-election.pdf</x:v>
      </x:c>
      <x:c r="AJ8" t="str">
        <x:v>https://results.elections.bc.ca/</x:v>
      </x:c>
    </x:row>
    <x:row r="9" ht="19" customHeight="1">
      <x:c r="A9" t="str">
        <x:v>Boundary-Similkameen</x:v>
      </x:c>
      <x:c r="B9" t="str">
        <x:v>Southern Interior / Kootenays / Coast</x:v>
      </x:c>
      <x:c r="C9" s="32" t="n">
        <x:v>10497</x:v>
      </x:c>
      <x:c r="D9" s="32" t="n">
        <x:v>11935</x:v>
      </x:c>
      <x:c r="E9" s="32" t="n">
        <x:v>1454</x:v>
      </x:c>
      <x:c r="F9" s="32" t="n">
        <x:v>779</x:v>
      </x:c>
      <x:c r="G9" s="32" t="n">
        <x:v>24665</x:v>
      </x:c>
      <x:c r="H9" s="32" t="n">
        <x:v>24701</x:v>
      </x:c>
      <x:c r="I9" s="32" t="n">
        <x:v>39371</x:v>
      </x:c>
      <x:c r="J9" s="28" t="n">
        <x:f>H9/I9</x:f>
        <x:v>0.627390719057174</x:v>
      </x:c>
      <x:c r="K9" s="32" t="n">
        <x:v>8870</x:v>
      </x:c>
      <x:c r="L9" s="32" t="n">
        <x:v>11465</x:v>
      </x:c>
      <x:c r="M9" s="32" t="n">
        <x:v>0</x:v>
      </x:c>
      <x:c r="N9" s="32" t="n">
        <x:v>1495</x:v>
      </x:c>
      <x:c r="O9" s="32" t="n">
        <x:v>21830</x:v>
      </x:c>
      <x:c r="P9" s="32" t="n">
        <x:v>21888</x:v>
      </x:c>
      <x:c r="Q9" s="28" t="n">
        <x:f>C9/G9</x:f>
        <x:v>0.4255828096493006</x:v>
      </x:c>
      <x:c r="R9" s="28" t="n">
        <x:f>K9/O9</x:f>
        <x:v>0.40632157581310124</x:v>
      </x:c>
      <x:c r="S9" s="30" t="n">
        <x:f>(R9-Q9)*100</x:f>
        <x:v>-1.9261233836199376</x:v>
      </x:c>
      <x:c r="T9" s="28" t="n">
        <x:f>D9/G9</x:f>
        <x:v>0.48388404621933917</x:v>
      </x:c>
      <x:c r="U9" s="28" t="n">
        <x:f>L9/O9</x:f>
        <x:v>0.5251946862116353</x:v>
      </x:c>
      <x:c r="V9" s="30" t="n">
        <x:f>(U9-T9)*100</x:f>
        <x:v>4.131063999229617</x:v>
      </x:c>
      <x:c r="W9" s="28" t="n">
        <x:f>E9/G9</x:f>
        <x:v>0.05894992904926009</x:v>
      </x:c>
      <x:c r="X9" s="28" t="n">
        <x:f>M9/O9</x:f>
        <x:v>0</x:v>
      </x:c>
      <x:c r="Y9" s="30" t="n">
        <x:f>(X9-W9)*100</x:f>
        <x:v>-5.894992904926009</x:v>
      </x:c>
      <x:c r="Z9" s="32" t="n">
        <x:f>K9-C9</x:f>
        <x:v>-1627</x:v>
      </x:c>
      <x:c r="AA9" s="32" t="n">
        <x:f>P9-H9</x:f>
        <x:v>-2813</x:v>
      </x:c>
      <x:c r="AB9" s="28" t="n">
        <x:f>P9/H9-1</x:f>
        <x:v>-0.1138820290676491</x:v>
      </x:c>
      <x:c r="AC9" t="str">
        <x:f>IF(C9=MAX(C9:F9),"NDP",IF(D9=MAX(C9:F9),"Conservative",IF(E9=MAX(C9:F9),"Green","Other")))</x:f>
        <x:v>Conservative</x:v>
      </x:c>
      <x:c r="AD9" t="str">
        <x:f>IF(K9=MAX(K9:N9),"NDP",IF(L9=MAX(K9:N9),"Conservative",IF(M9=MAX(K9:N9),"Green","Other")))</x:f>
        <x:v>Conservative</x:v>
      </x:c>
      <x:c r="AE9" t="str">
        <x:f>IF(AC9=AD9,"No","Yes")</x:f>
        <x:v>No</x:v>
      </x:c>
      <x:c r="AF9" s="32" t="n">
        <x:f>LARGE(K9:N9,1)-LARGE(K9:N9,2)</x:f>
        <x:v>2595</x:v>
      </x:c>
      <x:c r="AG9" s="32" t="n">
        <x:f>P9-O9</x:f>
        <x:v>58</x:v>
      </x:c>
      <x:c r="AH9" t="str">
        <x:v>Green absent 2026</x:v>
      </x:c>
      <x:c r="AI9" t="str">
        <x:v>https://elections.bc.ca/docs/rpt/statement-of-votes-2024-provincial-election.pdf</x:v>
      </x:c>
      <x:c r="AJ9" t="str">
        <x:v>https://results.elections.bc.ca/</x:v>
      </x:c>
    </x:row>
    <x:row r="10" ht="19" customHeight="1">
      <x:c r="A10" t="str">
        <x:v>Bulkley Valley-Stikine</x:v>
      </x:c>
      <x:c r="B10" t="str">
        <x:v>North / Central Interior / Coast</x:v>
      </x:c>
      <x:c r="C10" s="32" t="n">
        <x:v>3709</x:v>
      </x:c>
      <x:c r="D10" s="32" t="n">
        <x:v>4992</x:v>
      </x:c>
      <x:c r="E10" s="32" t="n">
        <x:v>604</x:v>
      </x:c>
      <x:c r="F10" s="32" t="n">
        <x:v>239</x:v>
      </x:c>
      <x:c r="G10" s="32" t="n">
        <x:v>9544</x:v>
      </x:c>
      <x:c r="H10" s="32" t="n">
        <x:v>9569</x:v>
      </x:c>
      <x:c r="I10" s="32" t="n">
        <x:v>14895</x:v>
      </x:c>
      <x:c r="J10" s="28" t="n">
        <x:f>H10/I10</x:f>
        <x:v>0.6424303457536086</x:v>
      </x:c>
      <x:c r="K10" s="32" t="n">
        <x:v>3872</x:v>
      </x:c>
      <x:c r="L10" s="32" t="n">
        <x:v>4333</x:v>
      </x:c>
      <x:c r="M10" s="32" t="n">
        <x:v>0</x:v>
      </x:c>
      <x:c r="N10" s="32" t="n">
        <x:v>284</x:v>
      </x:c>
      <x:c r="O10" s="32" t="n">
        <x:v>8489</x:v>
      </x:c>
      <x:c r="P10" s="32" t="n">
        <x:v>8539</x:v>
      </x:c>
      <x:c r="Q10" s="28" t="n">
        <x:f>C10/G10</x:f>
        <x:v>0.3886211232187762</x:v>
      </x:c>
      <x:c r="R10" s="28" t="n">
        <x:f>K10/O10</x:f>
        <x:v>0.45611968429732597</x:v>
      </x:c>
      <x:c r="S10" s="30" t="n">
        <x:f>(R10-Q10)*100</x:f>
        <x:v>6.7498561078549795</x:v>
      </x:c>
      <x:c r="T10" s="28" t="n">
        <x:f>D10/G10</x:f>
        <x:v>0.5230511316010059</x:v>
      </x:c>
      <x:c r="U10" s="28" t="n">
        <x:f>L10/O10</x:f>
        <x:v>0.5104252562139239</x:v>
      </x:c>
      <x:c r="V10" s="30" t="n">
        <x:f>(U10-T10)*100</x:f>
        <x:v>-1.2625875387082042</x:v>
      </x:c>
      <x:c r="W10" s="28" t="n">
        <x:f>E10/G10</x:f>
        <x:v>0.06328583403185248</x:v>
      </x:c>
      <x:c r="X10" s="28" t="n">
        <x:f>M10/O10</x:f>
        <x:v>0</x:v>
      </x:c>
      <x:c r="Y10" s="30" t="n">
        <x:f>(X10-W10)*100</x:f>
        <x:v>-6.328583403185248</x:v>
      </x:c>
      <x:c r="Z10" s="32" t="n">
        <x:f>K10-C10</x:f>
        <x:v>163</x:v>
      </x:c>
      <x:c r="AA10" s="32" t="n">
        <x:f>P10-H10</x:f>
        <x:v>-1030</x:v>
      </x:c>
      <x:c r="AB10" s="28" t="n">
        <x:f>P10/H10-1</x:f>
        <x:v>-0.10763925175044409</x:v>
      </x:c>
      <x:c r="AC10" t="str">
        <x:f>IF(C10=MAX(C10:F10),"NDP",IF(D10=MAX(C10:F10),"Conservative",IF(E10=MAX(C10:F10),"Green","Other")))</x:f>
        <x:v>Conservative</x:v>
      </x:c>
      <x:c r="AD10" t="str">
        <x:f>IF(K10=MAX(K10:N10),"NDP",IF(L10=MAX(K10:N10),"Conservative",IF(M10=MAX(K10:N10),"Green","Other")))</x:f>
        <x:v>Conservative</x:v>
      </x:c>
      <x:c r="AE10" t="str">
        <x:f>IF(AC10=AD10,"No","Yes")</x:f>
        <x:v>No</x:v>
      </x:c>
      <x:c r="AF10" s="32" t="n">
        <x:f>LARGE(K10:N10,1)-LARGE(K10:N10,2)</x:f>
        <x:v>461</x:v>
      </x:c>
      <x:c r="AG10" s="32" t="n">
        <x:f>P10-O10</x:f>
        <x:v>50</x:v>
      </x:c>
      <x:c r="AH10" t="str">
        <x:v>Green absent 2026; Close result &lt;=500 votes</x:v>
      </x:c>
      <x:c r="AI10" t="str">
        <x:v>https://elections.bc.ca/docs/rpt/statement-of-votes-2024-provincial-election.pdf</x:v>
      </x:c>
      <x:c r="AJ10" t="str">
        <x:v>https://results.elections.bc.ca/</x:v>
      </x:c>
    </x:row>
    <x:row r="11" ht="19" customHeight="1">
      <x:c r="A11" t="str">
        <x:v>Burnaby Centre</x:v>
      </x:c>
      <x:c r="B11" t="str">
        <x:v>Burnaby / Tri-Cities / New West</x:v>
      </x:c>
      <x:c r="C11" s="32" t="n">
        <x:v>9780</x:v>
      </x:c>
      <x:c r="D11" s="32" t="n">
        <x:v>7294</x:v>
      </x:c>
      <x:c r="E11" s="32" t="n">
        <x:v>0</x:v>
      </x:c>
      <x:c r="F11" s="32" t="n">
        <x:v>0</x:v>
      </x:c>
      <x:c r="G11" s="32" t="n">
        <x:v>17074</x:v>
      </x:c>
      <x:c r="H11" s="32" t="n">
        <x:v>17182</x:v>
      </x:c>
      <x:c r="I11" s="32" t="n">
        <x:v>34290</x:v>
      </x:c>
      <x:c r="J11" s="28" t="n">
        <x:f>H11/I11</x:f>
        <x:v>0.5010790317876932</x:v>
      </x:c>
      <x:c r="K11" s="32" t="n">
        <x:v>5955</x:v>
      </x:c>
      <x:c r="L11" s="32" t="n">
        <x:v>6735</x:v>
      </x:c>
      <x:c r="M11" s="32" t="n">
        <x:v>1169</x:v>
      </x:c>
      <x:c r="N11" s="32" t="n">
        <x:v>370</x:v>
      </x:c>
      <x:c r="O11" s="32" t="n">
        <x:v>14229</x:v>
      </x:c>
      <x:c r="P11" s="32" t="n">
        <x:v>14275</x:v>
      </x:c>
      <x:c r="Q11" s="28" t="n">
        <x:f>C11/G11</x:f>
        <x:v>0.5728007496778728</x:v>
      </x:c>
      <x:c r="R11" s="28" t="n">
        <x:f>K11/O11</x:f>
        <x:v>0.4185114906177525</x:v>
      </x:c>
      <x:c r="S11" s="30" t="n">
        <x:f>(R11-Q11)*100</x:f>
        <x:v>-15.428925906012026</x:v>
      </x:c>
      <x:c r="T11" s="28" t="n">
        <x:f>D11/G11</x:f>
        <x:v>0.4271992503221272</x:v>
      </x:c>
      <x:c r="U11" s="28" t="n">
        <x:f>L11/O11</x:f>
        <x:v>0.4733291165928737</x:v>
      </x:c>
      <x:c r="V11" s="30" t="n">
        <x:f>(U11-T11)*100</x:f>
        <x:v>4.61298662707465</x:v>
      </x:c>
      <x:c r="W11" s="28" t="n">
        <x:f>E11/G11</x:f>
        <x:v>0</x:v>
      </x:c>
      <x:c r="X11" s="28" t="n">
        <x:f>M11/O11</x:f>
        <x:v>0.08215615995502143</x:v>
      </x:c>
      <x:c r="Y11" s="30" t="n">
        <x:f>(X11-W11)*100</x:f>
        <x:v>8.215615995502143</x:v>
      </x:c>
      <x:c r="Z11" s="32" t="n">
        <x:f>K11-C11</x:f>
        <x:v>-3825</x:v>
      </x:c>
      <x:c r="AA11" s="32" t="n">
        <x:f>P11-H11</x:f>
        <x:v>-2907</x:v>
      </x:c>
      <x:c r="AB11" s="28" t="n">
        <x:f>P11/H11-1</x:f>
        <x:v>-0.16918868583401236</x:v>
      </x:c>
      <x:c r="AC11" t="str">
        <x:f>IF(C11=MAX(C11:F11),"NDP",IF(D11=MAX(C11:F11),"Conservative",IF(E11=MAX(C11:F11),"Green","Other")))</x:f>
        <x:v>NDP</x:v>
      </x:c>
      <x:c r="AD11" t="str">
        <x:f>IF(K11=MAX(K11:N11),"NDP",IF(L11=MAX(K11:N11),"Conservative",IF(M11=MAX(K11:N11),"Green","Other")))</x:f>
        <x:v>Conservative</x:v>
      </x:c>
      <x:c r="AE11" t="str">
        <x:f>IF(AC11=AD11,"No","Yes")</x:f>
        <x:v>Yes</x:v>
      </x:c>
      <x:c r="AF11" s="32" t="n">
        <x:f>LARGE(K11:N11,1)-LARGE(K11:N11,2)</x:f>
        <x:v>780</x:v>
      </x:c>
      <x:c r="AG11" s="32" t="n">
        <x:f>P11-O11</x:f>
        <x:v>46</x:v>
      </x:c>
      <x:c r="AH11" t="str">
        <x:v>Green absent 2024</x:v>
      </x:c>
      <x:c r="AI11" t="str">
        <x:v>https://elections.bc.ca/docs/rpt/statement-of-votes-2024-provincial-election.pdf</x:v>
      </x:c>
      <x:c r="AJ11" t="str">
        <x:v>https://results.elections.bc.ca/</x:v>
      </x:c>
    </x:row>
    <x:row r="12" ht="19" customHeight="1">
      <x:c r="A12" t="str">
        <x:v>Burnaby East</x:v>
      </x:c>
      <x:c r="B12" t="str">
        <x:v>Burnaby / Tri-Cities / New West</x:v>
      </x:c>
      <x:c r="C12" s="32" t="n">
        <x:v>10490</x:v>
      </x:c>
      <x:c r="D12" s="32" t="n">
        <x:v>8198</x:v>
      </x:c>
      <x:c r="E12" s="32" t="n">
        <x:v>1544</x:v>
      </x:c>
      <x:c r="F12" s="32" t="n">
        <x:v>0</x:v>
      </x:c>
      <x:c r="G12" s="32" t="n">
        <x:v>20232</x:v>
      </x:c>
      <x:c r="H12" s="32" t="n">
        <x:v>20273</x:v>
      </x:c>
      <x:c r="I12" s="32" t="n">
        <x:v>36896</x:v>
      </x:c>
      <x:c r="J12" s="28" t="n">
        <x:f>H12/I12</x:f>
        <x:v>0.549463356461405</x:v>
      </x:c>
      <x:c r="K12" s="32" t="n">
        <x:v>7759</x:v>
      </x:c>
      <x:c r="L12" s="32" t="n">
        <x:v>7518</x:v>
      </x:c>
      <x:c r="M12" s="32" t="n">
        <x:v>1672</x:v>
      </x:c>
      <x:c r="N12" s="32" t="n">
        <x:v>523</x:v>
      </x:c>
      <x:c r="O12" s="32" t="n">
        <x:v>17472</x:v>
      </x:c>
      <x:c r="P12" s="32" t="n">
        <x:v>17509</x:v>
      </x:c>
      <x:c r="Q12" s="28" t="n">
        <x:f>C12/G12</x:f>
        <x:v>0.5184855674179517</x:v>
      </x:c>
      <x:c r="R12" s="28" t="n">
        <x:f>K12/O12</x:f>
        <x:v>0.4440819597069597</x:v>
      </x:c>
      <x:c r="S12" s="30" t="n">
        <x:f>(R12-Q12)*100</x:f>
        <x:v>-7.440360771099202</x:v>
      </x:c>
      <x:c r="T12" s="28" t="n">
        <x:f>D12/G12</x:f>
        <x:v>0.40519968366943454</x:v>
      </x:c>
      <x:c r="U12" s="28" t="n">
        <x:f>L12/O12</x:f>
        <x:v>0.43028846153846156</x:v>
      </x:c>
      <x:c r="V12" s="30" t="n">
        <x:f>(U12-T12)*100</x:f>
        <x:v>2.508877786902702</x:v>
      </x:c>
      <x:c r="W12" s="28" t="n">
        <x:f>E12/G12</x:f>
        <x:v>0.07631474891261368</x:v>
      </x:c>
      <x:c r="X12" s="28" t="n">
        <x:f>M12/O12</x:f>
        <x:v>0.09569597069597069</x:v>
      </x:c>
      <x:c r="Y12" s="30" t="n">
        <x:f>(X12-W12)*100</x:f>
        <x:v>1.9381221783357008</x:v>
      </x:c>
      <x:c r="Z12" s="32" t="n">
        <x:f>K12-C12</x:f>
        <x:v>-2731</x:v>
      </x:c>
      <x:c r="AA12" s="32" t="n">
        <x:f>P12-H12</x:f>
        <x:v>-2764</x:v>
      </x:c>
      <x:c r="AB12" s="28" t="n">
        <x:f>P12/H12-1</x:f>
        <x:v>-0.13633897301830022</x:v>
      </x:c>
      <x:c r="AC12" t="str">
        <x:f>IF(C12=MAX(C12:F12),"NDP",IF(D12=MAX(C12:F12),"Conservative",IF(E12=MAX(C12:F12),"Green","Other")))</x:f>
        <x:v>NDP</x:v>
      </x:c>
      <x:c r="AD12" t="str">
        <x:f>IF(K12=MAX(K12:N12),"NDP",IF(L12=MAX(K12:N12),"Conservative",IF(M12=MAX(K12:N12),"Green","Other")))</x:f>
        <x:v>NDP</x:v>
      </x:c>
      <x:c r="AE12" t="str">
        <x:f>IF(AC12=AD12,"No","Yes")</x:f>
        <x:v>No</x:v>
      </x:c>
      <x:c r="AF12" s="32" t="n">
        <x:f>LARGE(K12:N12,1)-LARGE(K12:N12,2)</x:f>
        <x:v>241</x:v>
      </x:c>
      <x:c r="AG12" s="32" t="n">
        <x:f>P12-O12</x:f>
        <x:v>37</x:v>
      </x:c>
      <x:c r="AH12" t="str">
        <x:v>Close result &lt;=500 votes</x:v>
      </x:c>
      <x:c r="AI12" t="str">
        <x:v>https://elections.bc.ca/docs/rpt/statement-of-votes-2024-provincial-election.pdf</x:v>
      </x:c>
      <x:c r="AJ12" t="str">
        <x:v>https://results.elections.bc.ca/</x:v>
      </x:c>
    </x:row>
    <x:row r="13" ht="19" customHeight="1">
      <x:c r="A13" t="str">
        <x:v>Burnaby-New Westminster</x:v>
      </x:c>
      <x:c r="B13" t="str">
        <x:v>Burnaby / Tri-Cities / New West</x:v>
      </x:c>
      <x:c r="C13" s="32" t="n">
        <x:v>10647</x:v>
      </x:c>
      <x:c r="D13" s="32" t="n">
        <x:v>6161</x:v>
      </x:c>
      <x:c r="E13" s="32" t="n">
        <x:v>0</x:v>
      </x:c>
      <x:c r="F13" s="32" t="n">
        <x:v>940</x:v>
      </x:c>
      <x:c r="G13" s="32" t="n">
        <x:v>17748</x:v>
      </x:c>
      <x:c r="H13" s="32" t="n">
        <x:v>17837</x:v>
      </x:c>
      <x:c r="I13" s="32" t="n">
        <x:v>34794</x:v>
      </x:c>
      <x:c r="J13" s="28" t="n">
        <x:f>H13/I13</x:f>
        <x:v>0.5126458584813474</x:v>
      </x:c>
      <x:c r="K13" s="32" t="n">
        <x:v>7748</x:v>
      </x:c>
      <x:c r="L13" s="32" t="n">
        <x:v>6163</x:v>
      </x:c>
      <x:c r="M13" s="32" t="n">
        <x:v>0</x:v>
      </x:c>
      <x:c r="N13" s="32" t="n">
        <x:v>0</x:v>
      </x:c>
      <x:c r="O13" s="32" t="n">
        <x:v>13911</x:v>
      </x:c>
      <x:c r="P13" s="32" t="n">
        <x:v>14393</x:v>
      </x:c>
      <x:c r="Q13" s="28" t="n">
        <x:f>C13/G13</x:f>
        <x:v>0.5998985801217038</x:v>
      </x:c>
      <x:c r="R13" s="28" t="n">
        <x:f>K13/O13</x:f>
        <x:v>0.5569693048666523</x:v>
      </x:c>
      <x:c r="S13" s="30" t="n">
        <x:f>(R13-Q13)*100</x:f>
        <x:v>-4.292927525505153</x:v>
      </x:c>
      <x:c r="T13" s="28" t="n">
        <x:f>D13/G13</x:f>
        <x:v>0.34713770565697544</x:v>
      </x:c>
      <x:c r="U13" s="28" t="n">
        <x:f>L13/O13</x:f>
        <x:v>0.4430306951333477</x:v>
      </x:c>
      <x:c r="V13" s="30" t="n">
        <x:f>(U13-T13)*100</x:f>
        <x:v>9.589298947637225</x:v>
      </x:c>
      <x:c r="W13" s="28" t="n">
        <x:f>E13/G13</x:f>
        <x:v>0</x:v>
      </x:c>
      <x:c r="X13" s="28" t="n">
        <x:f>M13/O13</x:f>
        <x:v>0</x:v>
      </x:c>
      <x:c r="Y13" s="30" t="n">
        <x:f>(X13-W13)*100</x:f>
        <x:v>0</x:v>
      </x:c>
      <x:c r="Z13" s="32" t="n">
        <x:f>K13-C13</x:f>
        <x:v>-2899</x:v>
      </x:c>
      <x:c r="AA13" s="32" t="n">
        <x:f>P13-H13</x:f>
        <x:v>-3444</x:v>
      </x:c>
      <x:c r="AB13" s="28" t="n">
        <x:f>P13/H13-1</x:f>
        <x:v>-0.19308179626618827</x:v>
      </x:c>
      <x:c r="AC13" t="str">
        <x:f>IF(C13=MAX(C13:F13),"NDP",IF(D13=MAX(C13:F13),"Conservative",IF(E13=MAX(C13:F13),"Green","Other")))</x:f>
        <x:v>NDP</x:v>
      </x:c>
      <x:c r="AD13" t="str">
        <x:f>IF(K13=MAX(K13:N13),"NDP",IF(L13=MAX(K13:N13),"Conservative",IF(M13=MAX(K13:N13),"Green","Other")))</x:f>
        <x:v>NDP</x:v>
      </x:c>
      <x:c r="AE13" t="str">
        <x:f>IF(AC13=AD13,"No","Yes")</x:f>
        <x:v>No</x:v>
      </x:c>
      <x:c r="AF13" s="32" t="n">
        <x:f>LARGE(K13:N13,1)-LARGE(K13:N13,2)</x:f>
        <x:v>1585</x:v>
      </x:c>
      <x:c r="AG13" s="32" t="n">
        <x:f>P13-O13</x:f>
        <x:v>482</x:v>
      </x:c>
      <x:c r="AH13" t="str">
        <x:v>—</x:v>
      </x:c>
      <x:c r="AI13" t="str">
        <x:v>https://elections.bc.ca/docs/rpt/statement-of-votes-2024-provincial-election.pdf</x:v>
      </x:c>
      <x:c r="AJ13" t="str">
        <x:v>https://results.elections.bc.ca/</x:v>
      </x:c>
    </x:row>
    <x:row r="14" ht="19" customHeight="1">
      <x:c r="A14" t="str">
        <x:v>Burnaby North</x:v>
      </x:c>
      <x:c r="B14" t="str">
        <x:v>Burnaby / Tri-Cities / New West</x:v>
      </x:c>
      <x:c r="C14" s="32" t="n">
        <x:v>10724</x:v>
      </x:c>
      <x:c r="D14" s="32" t="n">
        <x:v>8658</x:v>
      </x:c>
      <x:c r="E14" s="32" t="n">
        <x:v>0</x:v>
      </x:c>
      <x:c r="F14" s="32" t="n">
        <x:v>754</x:v>
      </x:c>
      <x:c r="G14" s="32" t="n">
        <x:v>20136</x:v>
      </x:c>
      <x:c r="H14" s="32" t="n">
        <x:v>20183</x:v>
      </x:c>
      <x:c r="I14" s="32" t="n">
        <x:v>37785</x:v>
      </x:c>
      <x:c r="J14" s="28" t="n">
        <x:f>H14/I14</x:f>
        <x:v>0.5341537647214503</x:v>
      </x:c>
      <x:c r="K14" s="32" t="n">
        <x:v>7478</x:v>
      </x:c>
      <x:c r="L14" s="32" t="n">
        <x:v>8260</x:v>
      </x:c>
      <x:c r="M14" s="32" t="n">
        <x:v>1618</x:v>
      </x:c>
      <x:c r="N14" s="32" t="n">
        <x:v>413</x:v>
      </x:c>
      <x:c r="O14" s="32" t="n">
        <x:v>17769</x:v>
      </x:c>
      <x:c r="P14" s="32" t="n">
        <x:v>17819</x:v>
      </x:c>
      <x:c r="Q14" s="28" t="n">
        <x:f>C14/G14</x:f>
        <x:v>0.5325784664282877</x:v>
      </x:c>
      <x:c r="R14" s="28" t="n">
        <x:f>K14/O14</x:f>
        <x:v>0.4208452923631043</x:v>
      </x:c>
      <x:c r="S14" s="30" t="n">
        <x:f>(R14-Q14)*100</x:f>
        <x:v>-11.173317406518334</x:v>
      </x:c>
      <x:c r="T14" s="28" t="n">
        <x:f>D14/G14</x:f>
        <x:v>0.4299761620977354</x:v>
      </x:c>
      <x:c r="U14" s="28" t="n">
        <x:f>L14/O14</x:f>
        <x:v>0.4648545219201981</x:v>
      </x:c>
      <x:c r="V14" s="30" t="n">
        <x:f>(U14-T14)*100</x:f>
        <x:v>3.487835982246268</x:v>
      </x:c>
      <x:c r="W14" s="28" t="n">
        <x:f>E14/G14</x:f>
        <x:v>0</x:v>
      </x:c>
      <x:c r="X14" s="28" t="n">
        <x:f>M14/O14</x:f>
        <x:v>0.09105745962068772</x:v>
      </x:c>
      <x:c r="Y14" s="30" t="n">
        <x:f>(X14-W14)*100</x:f>
        <x:v>9.105745962068772</x:v>
      </x:c>
      <x:c r="Z14" s="32" t="n">
        <x:f>K14-C14</x:f>
        <x:v>-3246</x:v>
      </x:c>
      <x:c r="AA14" s="32" t="n">
        <x:f>P14-H14</x:f>
        <x:v>-2364</x:v>
      </x:c>
      <x:c r="AB14" s="28" t="n">
        <x:f>P14/H14-1</x:f>
        <x:v>-0.1171282762721102</x:v>
      </x:c>
      <x:c r="AC14" t="str">
        <x:f>IF(C14=MAX(C14:F14),"NDP",IF(D14=MAX(C14:F14),"Conservative",IF(E14=MAX(C14:F14),"Green","Other")))</x:f>
        <x:v>NDP</x:v>
      </x:c>
      <x:c r="AD14" t="str">
        <x:f>IF(K14=MAX(K14:N14),"NDP",IF(L14=MAX(K14:N14),"Conservative",IF(M14=MAX(K14:N14),"Green","Other")))</x:f>
        <x:v>Conservative</x:v>
      </x:c>
      <x:c r="AE14" t="str">
        <x:f>IF(AC14=AD14,"No","Yes")</x:f>
        <x:v>Yes</x:v>
      </x:c>
      <x:c r="AF14" s="32" t="n">
        <x:f>LARGE(K14:N14,1)-LARGE(K14:N14,2)</x:f>
        <x:v>782</x:v>
      </x:c>
      <x:c r="AG14" s="32" t="n">
        <x:f>P14-O14</x:f>
        <x:v>50</x:v>
      </x:c>
      <x:c r="AH14" t="str">
        <x:v>Green absent 2024</x:v>
      </x:c>
      <x:c r="AI14" t="str">
        <x:v>https://elections.bc.ca/docs/rpt/statement-of-votes-2024-provincial-election.pdf</x:v>
      </x:c>
      <x:c r="AJ14" t="str">
        <x:v>https://results.elections.bc.ca/</x:v>
      </x:c>
    </x:row>
    <x:row r="15" ht="19" customHeight="1">
      <x:c r="A15" t="str">
        <x:v>Burnaby South-Metrotown</x:v>
      </x:c>
      <x:c r="B15" t="str">
        <x:v>Burnaby / Tri-Cities / New West</x:v>
      </x:c>
      <x:c r="C15" s="32" t="n">
        <x:v>7560</x:v>
      </x:c>
      <x:c r="D15" s="32" t="n">
        <x:v>6373</x:v>
      </x:c>
      <x:c r="E15" s="32" t="n">
        <x:v>960</x:v>
      </x:c>
      <x:c r="F15" s="32" t="n">
        <x:v>432</x:v>
      </x:c>
      <x:c r="G15" s="32" t="n">
        <x:v>15325</x:v>
      </x:c>
      <x:c r="H15" s="32" t="n">
        <x:v>15357</x:v>
      </x:c>
      <x:c r="I15" s="32" t="n">
        <x:v>31434</x:v>
      </x:c>
      <x:c r="J15" s="28" t="n">
        <x:f>H15/I15</x:f>
        <x:v>0.4885474327161672</x:v>
      </x:c>
      <x:c r="K15" s="32" t="n">
        <x:v>5811</x:v>
      </x:c>
      <x:c r="L15" s="32" t="n">
        <x:v>5745</x:v>
      </x:c>
      <x:c r="M15" s="32" t="n">
        <x:v>1151</x:v>
      </x:c>
      <x:c r="N15" s="32" t="n">
        <x:v>379</x:v>
      </x:c>
      <x:c r="O15" s="32" t="n">
        <x:v>13086</x:v>
      </x:c>
      <x:c r="P15" s="32" t="n">
        <x:v>13144</x:v>
      </x:c>
      <x:c r="Q15" s="28" t="n">
        <x:f>C15/G15</x:f>
        <x:v>0.4933115823817292</x:v>
      </x:c>
      <x:c r="R15" s="28" t="n">
        <x:f>K15/O15</x:f>
        <x:v>0.44406235671710226</x:v>
      </x:c>
      <x:c r="S15" s="30" t="n">
        <x:f>(R15-Q15)*100</x:f>
        <x:v>-4.924922566462691</x:v>
      </x:c>
      <x:c r="T15" s="28" t="n">
        <x:f>D15/G15</x:f>
        <x:v>0.4158564437194127</x:v>
      </x:c>
      <x:c r="U15" s="28" t="n">
        <x:f>L15/O15</x:f>
        <x:v>0.4390187987161852</x:v>
      </x:c>
      <x:c r="V15" s="30" t="n">
        <x:f>(U15-T15)*100</x:f>
        <x:v>2.3162354996772496</x:v>
      </x:c>
      <x:c r="W15" s="28" t="n">
        <x:f>E15/G15</x:f>
        <x:v>0.06264274061990212</x:v>
      </x:c>
      <x:c r="X15" s="28" t="n">
        <x:f>M15/O15</x:f>
        <x:v>0.08795659483417392</x:v>
      </x:c>
      <x:c r="Y15" s="30" t="n">
        <x:f>(X15-W15)*100</x:f>
        <x:v>2.5313854214271805</x:v>
      </x:c>
      <x:c r="Z15" s="32" t="n">
        <x:f>K15-C15</x:f>
        <x:v>-1749</x:v>
      </x:c>
      <x:c r="AA15" s="32" t="n">
        <x:f>P15-H15</x:f>
        <x:v>-2213</x:v>
      </x:c>
      <x:c r="AB15" s="28" t="n">
        <x:f>P15/H15-1</x:f>
        <x:v>-0.14410366608061476</x:v>
      </x:c>
      <x:c r="AC15" t="str">
        <x:f>IF(C15=MAX(C15:F15),"NDP",IF(D15=MAX(C15:F15),"Conservative",IF(E15=MAX(C15:F15),"Green","Other")))</x:f>
        <x:v>NDP</x:v>
      </x:c>
      <x:c r="AD15" t="str">
        <x:f>IF(K15=MAX(K15:N15),"NDP",IF(L15=MAX(K15:N15),"Conservative",IF(M15=MAX(K15:N15),"Green","Other")))</x:f>
        <x:v>NDP</x:v>
      </x:c>
      <x:c r="AE15" t="str">
        <x:f>IF(AC15=AD15,"No","Yes")</x:f>
        <x:v>No</x:v>
      </x:c>
      <x:c r="AF15" s="32" t="n">
        <x:f>LARGE(K15:N15,1)-LARGE(K15:N15,2)</x:f>
        <x:v>66</x:v>
      </x:c>
      <x:c r="AG15" s="32" t="n">
        <x:f>P15-O15</x:f>
        <x:v>58</x:v>
      </x:c>
      <x:c r="AH15" t="str">
        <x:v>Close result &lt;=500 votes</x:v>
      </x:c>
      <x:c r="AI15" t="str">
        <x:v>https://elections.bc.ca/docs/rpt/statement-of-votes-2024-provincial-election.pdf</x:v>
      </x:c>
      <x:c r="AJ15" t="str">
        <x:v>https://results.elections.bc.ca/</x:v>
      </x:c>
    </x:row>
    <x:row r="16" ht="19" customHeight="1">
      <x:c r="A16" t="str">
        <x:v>Cariboo-Chilcotin</x:v>
      </x:c>
      <x:c r="B16" t="str">
        <x:v>North / Central Interior / Coast</x:v>
      </x:c>
      <x:c r="C16" s="32" t="n">
        <x:v>5992</x:v>
      </x:c>
      <x:c r="D16" s="32" t="n">
        <x:v>13714</x:v>
      </x:c>
      <x:c r="E16" s="32" t="n">
        <x:v>0</x:v>
      </x:c>
      <x:c r="F16" s="32" t="n">
        <x:v>0</x:v>
      </x:c>
      <x:c r="G16" s="32" t="n">
        <x:v>19706</x:v>
      </x:c>
      <x:c r="H16" s="32" t="n">
        <x:v>19798</x:v>
      </x:c>
      <x:c r="I16" s="32" t="n">
        <x:v>32975</x:v>
      </x:c>
      <x:c r="J16" s="28" t="n">
        <x:f>H16/I16</x:f>
        <x:v>0.6003942380591357</x:v>
      </x:c>
      <x:c r="K16" s="32" t="n">
        <x:v>3123</x:v>
      </x:c>
      <x:c r="L16" s="32" t="n">
        <x:v>14218</x:v>
      </x:c>
      <x:c r="M16" s="32" t="n">
        <x:v>1103</x:v>
      </x:c>
      <x:c r="N16" s="32" t="n">
        <x:v>0</x:v>
      </x:c>
      <x:c r="O16" s="32" t="n">
        <x:v>18444</x:v>
      </x:c>
      <x:c r="P16" s="32" t="n">
        <x:v>18488</x:v>
      </x:c>
      <x:c r="Q16" s="28" t="n">
        <x:f>C16/G16</x:f>
        <x:v>0.3040698264487973</x:v>
      </x:c>
      <x:c r="R16" s="28" t="n">
        <x:f>K16/O16</x:f>
        <x:v>0.16932335718932987</x:v>
      </x:c>
      <x:c r="S16" s="30" t="n">
        <x:f>(R16-Q16)*100</x:f>
        <x:v>-13.474646925946745</x:v>
      </x:c>
      <x:c r="T16" s="28" t="n">
        <x:f>D16/G16</x:f>
        <x:v>0.6959301735512027</x:v>
      </x:c>
      <x:c r="U16" s="28" t="n">
        <x:f>L16/O16</x:f>
        <x:v>0.7708739969637822</x:v>
      </x:c>
      <x:c r="V16" s="30" t="n">
        <x:f>(U16-T16)*100</x:f>
        <x:v>7.494382341257955</x:v>
      </x:c>
      <x:c r="W16" s="28" t="n">
        <x:f>E16/G16</x:f>
        <x:v>0</x:v>
      </x:c>
      <x:c r="X16" s="28" t="n">
        <x:f>M16/O16</x:f>
        <x:v>0.059802645846887874</x:v>
      </x:c>
      <x:c r="Y16" s="30" t="n">
        <x:f>(X16-W16)*100</x:f>
        <x:v>5.980264584688787</x:v>
      </x:c>
      <x:c r="Z16" s="32" t="n">
        <x:f>K16-C16</x:f>
        <x:v>-2869</x:v>
      </x:c>
      <x:c r="AA16" s="32" t="n">
        <x:f>P16-H16</x:f>
        <x:v>-1310</x:v>
      </x:c>
      <x:c r="AB16" s="28" t="n">
        <x:f>P16/H16-1</x:f>
        <x:v>-0.06616829982826544</x:v>
      </x:c>
      <x:c r="AC16" t="str">
        <x:f>IF(C16=MAX(C16:F16),"NDP",IF(D16=MAX(C16:F16),"Conservative",IF(E16=MAX(C16:F16),"Green","Other")))</x:f>
        <x:v>Conservative</x:v>
      </x:c>
      <x:c r="AD16" t="str">
        <x:f>IF(K16=MAX(K16:N16),"NDP",IF(L16=MAX(K16:N16),"Conservative",IF(M16=MAX(K16:N16),"Green","Other")))</x:f>
        <x:v>Conservative</x:v>
      </x:c>
      <x:c r="AE16" t="str">
        <x:f>IF(AC16=AD16,"No","Yes")</x:f>
        <x:v>No</x:v>
      </x:c>
      <x:c r="AF16" s="32" t="n">
        <x:f>LARGE(K16:N16,1)-LARGE(K16:N16,2)</x:f>
        <x:v>11095</x:v>
      </x:c>
      <x:c r="AG16" s="32" t="n">
        <x:f>P16-O16</x:f>
        <x:v>44</x:v>
      </x:c>
      <x:c r="AH16" t="str">
        <x:v>Green absent 2024</x:v>
      </x:c>
      <x:c r="AI16" t="str">
        <x:v>https://elections.bc.ca/docs/rpt/statement-of-votes-2024-provincial-election.pdf</x:v>
      </x:c>
      <x:c r="AJ16" t="str">
        <x:v>https://results.elections.bc.ca/</x:v>
      </x:c>
    </x:row>
    <x:row r="17" ht="19" customHeight="1">
      <x:c r="A17" t="str">
        <x:v>Chilliwack-Cultus Lake</x:v>
      </x:c>
      <x:c r="B17" t="str">
        <x:v>Fraser Valley / Ridge / Langley</x:v>
      </x:c>
      <x:c r="C17" s="32" t="n">
        <x:v>11366</x:v>
      </x:c>
      <x:c r="D17" s="32" t="n">
        <x:v>13656</x:v>
      </x:c>
      <x:c r="E17" s="32" t="n">
        <x:v>0</x:v>
      </x:c>
      <x:c r="F17" s="32" t="n">
        <x:v>0</x:v>
      </x:c>
      <x:c r="G17" s="32" t="n">
        <x:v>25022</x:v>
      </x:c>
      <x:c r="H17" s="32" t="n">
        <x:v>25105</x:v>
      </x:c>
      <x:c r="I17" s="32" t="n">
        <x:v>41587</x:v>
      </x:c>
      <x:c r="J17" s="28" t="n">
        <x:f>H17/I17</x:f>
        <x:v>0.6036742251184264</x:v>
      </x:c>
      <x:c r="K17" s="32" t="n">
        <x:v>8430</x:v>
      </x:c>
      <x:c r="L17" s="32" t="n">
        <x:v>12712</x:v>
      </x:c>
      <x:c r="M17" s="32" t="n">
        <x:v>0</x:v>
      </x:c>
      <x:c r="N17" s="32" t="n">
        <x:v>0</x:v>
      </x:c>
      <x:c r="O17" s="32" t="n">
        <x:v>21142</x:v>
      </x:c>
      <x:c r="P17" s="32" t="n">
        <x:v>21224</x:v>
      </x:c>
      <x:c r="Q17" s="28" t="n">
        <x:f>C17/G17</x:f>
        <x:v>0.45424026856366395</x:v>
      </x:c>
      <x:c r="R17" s="28" t="n">
        <x:f>K17/O17</x:f>
        <x:v>0.3987323810424747</x:v>
      </x:c>
      <x:c r="S17" s="30" t="n">
        <x:f>(R17-Q17)*100</x:f>
        <x:v>-5.550788752118923</x:v>
      </x:c>
      <x:c r="T17" s="28" t="n">
        <x:f>D17/G17</x:f>
        <x:v>0.545759731436336</x:v>
      </x:c>
      <x:c r="U17" s="28" t="n">
        <x:f>L17/O17</x:f>
        <x:v>0.6012676189575253</x:v>
      </x:c>
      <x:c r="V17" s="30" t="n">
        <x:f>(U17-T17)*100</x:f>
        <x:v>5.55078875211893</x:v>
      </x:c>
      <x:c r="W17" s="28" t="n">
        <x:f>E17/G17</x:f>
        <x:v>0</x:v>
      </x:c>
      <x:c r="X17" s="28" t="n">
        <x:f>M17/O17</x:f>
        <x:v>0</x:v>
      </x:c>
      <x:c r="Y17" s="30" t="n">
        <x:f>(X17-W17)*100</x:f>
        <x:v>0</x:v>
      </x:c>
      <x:c r="Z17" s="32" t="n">
        <x:f>K17-C17</x:f>
        <x:v>-2936</x:v>
      </x:c>
      <x:c r="AA17" s="32" t="n">
        <x:f>P17-H17</x:f>
        <x:v>-3881</x:v>
      </x:c>
      <x:c r="AB17" s="28" t="n">
        <x:f>P17/H17-1</x:f>
        <x:v>-0.15459071898028276</x:v>
      </x:c>
      <x:c r="AC17" t="str">
        <x:f>IF(C17=MAX(C17:F17),"NDP",IF(D17=MAX(C17:F17),"Conservative",IF(E17=MAX(C17:F17),"Green","Other")))</x:f>
        <x:v>Conservative</x:v>
      </x:c>
      <x:c r="AD17" t="str">
        <x:f>IF(K17=MAX(K17:N17),"NDP",IF(L17=MAX(K17:N17),"Conservative",IF(M17=MAX(K17:N17),"Green","Other")))</x:f>
        <x:v>Conservative</x:v>
      </x:c>
      <x:c r="AE17" t="str">
        <x:f>IF(AC17=AD17,"No","Yes")</x:f>
        <x:v>No</x:v>
      </x:c>
      <x:c r="AF17" s="32" t="n">
        <x:f>LARGE(K17:N17,1)-LARGE(K17:N17,2)</x:f>
        <x:v>4282</x:v>
      </x:c>
      <x:c r="AG17" s="32" t="n">
        <x:f>P17-O17</x:f>
        <x:v>82</x:v>
      </x:c>
      <x:c r="AH17" t="str">
        <x:v>—</x:v>
      </x:c>
      <x:c r="AI17" t="str">
        <x:v>https://elections.bc.ca/docs/rpt/statement-of-votes-2024-provincial-election.pdf</x:v>
      </x:c>
      <x:c r="AJ17" t="str">
        <x:v>https://results.elections.bc.ca/</x:v>
      </x:c>
    </x:row>
    <x:row r="18" ht="19" customHeight="1">
      <x:c r="A18" t="str">
        <x:v>Chilliwack North</x:v>
      </x:c>
      <x:c r="B18" t="str">
        <x:v>Fraser Valley / Ridge / Langley</x:v>
      </x:c>
      <x:c r="C18" s="32" t="n">
        <x:v>8125</x:v>
      </x:c>
      <x:c r="D18" s="32" t="n">
        <x:v>11776</x:v>
      </x:c>
      <x:c r="E18" s="32" t="n">
        <x:v>1187</x:v>
      </x:c>
      <x:c r="F18" s="32" t="n">
        <x:v>487</x:v>
      </x:c>
      <x:c r="G18" s="32" t="n">
        <x:v>21575</x:v>
      </x:c>
      <x:c r="H18" s="32" t="n">
        <x:v>21601</x:v>
      </x:c>
      <x:c r="I18" s="32" t="n">
        <x:v>39227</x:v>
      </x:c>
      <x:c r="J18" s="28" t="n">
        <x:f>H18/I18</x:f>
        <x:v>0.5506666326764729</x:v>
      </x:c>
      <x:c r="K18" s="32" t="n">
        <x:v>5817</x:v>
      </x:c>
      <x:c r="L18" s="32" t="n">
        <x:v>10504</x:v>
      </x:c>
      <x:c r="M18" s="32" t="n">
        <x:v>0</x:v>
      </x:c>
      <x:c r="N18" s="32" t="n">
        <x:v>1326</x:v>
      </x:c>
      <x:c r="O18" s="32" t="n">
        <x:v>17647</x:v>
      </x:c>
      <x:c r="P18" s="32" t="n">
        <x:v>17683</x:v>
      </x:c>
      <x:c r="Q18" s="28" t="n">
        <x:f>C18/G18</x:f>
        <x:v>0.3765932792584009</x:v>
      </x:c>
      <x:c r="R18" s="28" t="n">
        <x:f>K18/O18</x:f>
        <x:v>0.32963109877032926</x:v>
      </x:c>
      <x:c r="S18" s="30" t="n">
        <x:f>(R18-Q18)*100</x:f>
        <x:v>-4.696218048807166</x:v>
      </x:c>
      <x:c r="T18" s="28" t="n">
        <x:f>D18/G18</x:f>
        <x:v>0.5458169177288529</x:v>
      </x:c>
      <x:c r="U18" s="28" t="n">
        <x:f>L18/O18</x:f>
        <x:v>0.5952286507621692</x:v>
      </x:c>
      <x:c r="V18" s="30" t="n">
        <x:f>(U18-T18)*100</x:f>
        <x:v>4.941173303331636</x:v>
      </x:c>
      <x:c r="W18" s="28" t="n">
        <x:f>E18/G18</x:f>
        <x:v>0.05501738122827347</x:v>
      </x:c>
      <x:c r="X18" s="28" t="n">
        <x:f>M18/O18</x:f>
        <x:v>0</x:v>
      </x:c>
      <x:c r="Y18" s="30" t="n">
        <x:f>(X18-W18)*100</x:f>
        <x:v>-5.501738122827347</x:v>
      </x:c>
      <x:c r="Z18" s="32" t="n">
        <x:f>K18-C18</x:f>
        <x:v>-2308</x:v>
      </x:c>
      <x:c r="AA18" s="32" t="n">
        <x:f>P18-H18</x:f>
        <x:v>-3918</x:v>
      </x:c>
      <x:c r="AB18" s="28" t="n">
        <x:f>P18/H18-1</x:f>
        <x:v>-0.18138049164390535</x:v>
      </x:c>
      <x:c r="AC18" t="str">
        <x:f>IF(C18=MAX(C18:F18),"NDP",IF(D18=MAX(C18:F18),"Conservative",IF(E18=MAX(C18:F18),"Green","Other")))</x:f>
        <x:v>Conservative</x:v>
      </x:c>
      <x:c r="AD18" t="str">
        <x:f>IF(K18=MAX(K18:N18),"NDP",IF(L18=MAX(K18:N18),"Conservative",IF(M18=MAX(K18:N18),"Green","Other")))</x:f>
        <x:v>Conservative</x:v>
      </x:c>
      <x:c r="AE18" t="str">
        <x:f>IF(AC18=AD18,"No","Yes")</x:f>
        <x:v>No</x:v>
      </x:c>
      <x:c r="AF18" s="32" t="n">
        <x:f>LARGE(K18:N18,1)-LARGE(K18:N18,2)</x:f>
        <x:v>4687</x:v>
      </x:c>
      <x:c r="AG18" s="32" t="n">
        <x:f>P18-O18</x:f>
        <x:v>36</x:v>
      </x:c>
      <x:c r="AH18" t="str">
        <x:v>Green absent 2026</x:v>
      </x:c>
      <x:c r="AI18" t="str">
        <x:v>https://elections.bc.ca/docs/rpt/statement-of-votes-2024-provincial-election.pdf</x:v>
      </x:c>
      <x:c r="AJ18" t="str">
        <x:v>https://results.elections.bc.ca/</x:v>
      </x:c>
    </x:row>
    <x:row r="19" ht="19" customHeight="1">
      <x:c r="A19" t="str">
        <x:v>Columbia River-Revelstoke</x:v>
      </x:c>
      <x:c r="B19" t="str">
        <x:v>Southern Interior / Kootenays / Coast</x:v>
      </x:c>
      <x:c r="C19" s="32" t="n">
        <x:v>8098</x:v>
      </x:c>
      <x:c r="D19" s="32" t="n">
        <x:v>8768</x:v>
      </x:c>
      <x:c r="E19" s="32" t="n">
        <x:v>1430</x:v>
      </x:c>
      <x:c r="F19" s="32" t="n">
        <x:v>0</x:v>
      </x:c>
      <x:c r="G19" s="32" t="n">
        <x:v>18296</x:v>
      </x:c>
      <x:c r="H19" s="32" t="n">
        <x:v>18337</x:v>
      </x:c>
      <x:c r="I19" s="32" t="n">
        <x:v>31366</x:v>
      </x:c>
      <x:c r="J19" s="28" t="n">
        <x:f>H19/I19</x:f>
        <x:v>0.584613913154371</x:v>
      </x:c>
      <x:c r="K19" s="32" t="n">
        <x:v>6101</x:v>
      </x:c>
      <x:c r="L19" s="32" t="n">
        <x:v>8894</x:v>
      </x:c>
      <x:c r="M19" s="32" t="n">
        <x:v>1942</x:v>
      </x:c>
      <x:c r="N19" s="32" t="n">
        <x:v>0</x:v>
      </x:c>
      <x:c r="O19" s="32" t="n">
        <x:v>16937</x:v>
      </x:c>
      <x:c r="P19" s="32" t="n">
        <x:v>16962</x:v>
      </x:c>
      <x:c r="Q19" s="28" t="n">
        <x:f>C19/G19</x:f>
        <x:v>0.4426104066462615</x:v>
      </x:c>
      <x:c r="R19" s="28" t="n">
        <x:f>K19/O19</x:f>
        <x:v>0.36021727578673907</x:v>
      </x:c>
      <x:c r="S19" s="30" t="n">
        <x:f>(R19-Q19)*100</x:f>
        <x:v>-8.239313085952244</x:v>
      </x:c>
      <x:c r="T19" s="28" t="n">
        <x:f>D19/G19</x:f>
        <x:v>0.47923043288150413</x:v>
      </x:c>
      <x:c r="U19" s="28" t="n">
        <x:f>L19/O19</x:f>
        <x:v>0.5251225128417075</x:v>
      </x:c>
      <x:c r="V19" s="30" t="n">
        <x:f>(U19-T19)*100</x:f>
        <x:v>4.589207996020339</x:v>
      </x:c>
      <x:c r="W19" s="28" t="n">
        <x:f>E19/G19</x:f>
        <x:v>0.07815916047223437</x:v>
      </x:c>
      <x:c r="X19" s="28" t="n">
        <x:f>M19/O19</x:f>
        <x:v>0.1146602113715534</x:v>
      </x:c>
      <x:c r="Y19" s="30" t="n">
        <x:f>(X19-W19)*100</x:f>
        <x:v>3.6501050899319027</x:v>
      </x:c>
      <x:c r="Z19" s="32" t="n">
        <x:f>K19-C19</x:f>
        <x:v>-1997</x:v>
      </x:c>
      <x:c r="AA19" s="32" t="n">
        <x:f>P19-H19</x:f>
        <x:v>-1375</x:v>
      </x:c>
      <x:c r="AB19" s="28" t="n">
        <x:f>P19/H19-1</x:f>
        <x:v>-0.07498500299940014</x:v>
      </x:c>
      <x:c r="AC19" t="str">
        <x:f>IF(C19=MAX(C19:F19),"NDP",IF(D19=MAX(C19:F19),"Conservative",IF(E19=MAX(C19:F19),"Green","Other")))</x:f>
        <x:v>Conservative</x:v>
      </x:c>
      <x:c r="AD19" t="str">
        <x:f>IF(K19=MAX(K19:N19),"NDP",IF(L19=MAX(K19:N19),"Conservative",IF(M19=MAX(K19:N19),"Green","Other")))</x:f>
        <x:v>Conservative</x:v>
      </x:c>
      <x:c r="AE19" t="str">
        <x:f>IF(AC19=AD19,"No","Yes")</x:f>
        <x:v>No</x:v>
      </x:c>
      <x:c r="AF19" s="32" t="n">
        <x:f>LARGE(K19:N19,1)-LARGE(K19:N19,2)</x:f>
        <x:v>2793</x:v>
      </x:c>
      <x:c r="AG19" s="32" t="n">
        <x:f>P19-O19</x:f>
        <x:v>25</x:v>
      </x:c>
      <x:c r="AH19" t="str">
        <x:v>—</x:v>
      </x:c>
      <x:c r="AI19" t="str">
        <x:v>https://elections.bc.ca/docs/rpt/statement-of-votes-2024-provincial-election.pdf</x:v>
      </x:c>
      <x:c r="AJ19" t="str">
        <x:v>https://results.elections.bc.ca/</x:v>
      </x:c>
    </x:row>
    <x:row r="20" ht="19" customHeight="1">
      <x:c r="A20" t="str">
        <x:v>Coquitlam-Burke Mountain</x:v>
      </x:c>
      <x:c r="B20" t="str">
        <x:v>Burnaby / Tri-Cities / New West</x:v>
      </x:c>
      <x:c r="C20" s="32" t="n">
        <x:v>11020</x:v>
      </x:c>
      <x:c r="D20" s="32" t="n">
        <x:v>10652</x:v>
      </x:c>
      <x:c r="E20" s="32" t="n">
        <x:v>0</x:v>
      </x:c>
      <x:c r="F20" s="32" t="n">
        <x:v>0</x:v>
      </x:c>
      <x:c r="G20" s="32" t="n">
        <x:v>21672</x:v>
      </x:c>
      <x:c r="H20" s="32" t="n">
        <x:v>21766</x:v>
      </x:c>
      <x:c r="I20" s="32" t="n">
        <x:v>39801</x:v>
      </x:c>
      <x:c r="J20" s="28" t="n">
        <x:f>H20/I20</x:f>
        <x:v>0.5468706816411648</x:v>
      </x:c>
      <x:c r="K20" s="32" t="n">
        <x:v>7323</x:v>
      </x:c>
      <x:c r="L20" s="32" t="n">
        <x:v>9814</x:v>
      </x:c>
      <x:c r="M20" s="32" t="n">
        <x:v>1111</x:v>
      </x:c>
      <x:c r="N20" s="32" t="n">
        <x:v>409</x:v>
      </x:c>
      <x:c r="O20" s="32" t="n">
        <x:v>18657</x:v>
      </x:c>
      <x:c r="P20" s="32" t="n">
        <x:v>18687</x:v>
      </x:c>
      <x:c r="Q20" s="28" t="n">
        <x:f>C20/G20</x:f>
        <x:v>0.5084902177925433</x:v>
      </x:c>
      <x:c r="R20" s="28" t="n">
        <x:f>K20/O20</x:f>
        <x:v>0.3925068338961248</x:v>
      </x:c>
      <x:c r="S20" s="30" t="n">
        <x:f>(R20-Q20)*100</x:f>
        <x:v>-11.598338389641855</x:v>
      </x:c>
      <x:c r="T20" s="28" t="n">
        <x:f>D20/G20</x:f>
        <x:v>0.4915097822074566</x:v>
      </x:c>
      <x:c r="U20" s="28" t="n">
        <x:f>L20/O20</x:f>
        <x:v>0.5260224044594523</x:v>
      </x:c>
      <x:c r="V20" s="30" t="n">
        <x:f>(U20-T20)*100</x:f>
        <x:v>3.4512622251995637</x:v>
      </x:c>
      <x:c r="W20" s="28" t="n">
        <x:f>E20/G20</x:f>
        <x:v>0</x:v>
      </x:c>
      <x:c r="X20" s="28" t="n">
        <x:f>M20/O20</x:f>
        <x:v>0.05954869485983813</x:v>
      </x:c>
      <x:c r="Y20" s="30" t="n">
        <x:f>(X20-W20)*100</x:f>
        <x:v>5.954869485983813</x:v>
      </x:c>
      <x:c r="Z20" s="32" t="n">
        <x:f>K20-C20</x:f>
        <x:v>-3697</x:v>
      </x:c>
      <x:c r="AA20" s="32" t="n">
        <x:f>P20-H20</x:f>
        <x:v>-3079</x:v>
      </x:c>
      <x:c r="AB20" s="28" t="n">
        <x:f>P20/H20-1</x:f>
        <x:v>-0.14145915648258756</x:v>
      </x:c>
      <x:c r="AC20" t="str">
        <x:f>IF(C20=MAX(C20:F20),"NDP",IF(D20=MAX(C20:F20),"Conservative",IF(E20=MAX(C20:F20),"Green","Other")))</x:f>
        <x:v>NDP</x:v>
      </x:c>
      <x:c r="AD20" t="str">
        <x:f>IF(K20=MAX(K20:N20),"NDP",IF(L20=MAX(K20:N20),"Conservative",IF(M20=MAX(K20:N20),"Green","Other")))</x:f>
        <x:v>Conservative</x:v>
      </x:c>
      <x:c r="AE20" t="str">
        <x:f>IF(AC20=AD20,"No","Yes")</x:f>
        <x:v>Yes</x:v>
      </x:c>
      <x:c r="AF20" s="32" t="n">
        <x:f>LARGE(K20:N20,1)-LARGE(K20:N20,2)</x:f>
        <x:v>2491</x:v>
      </x:c>
      <x:c r="AG20" s="32" t="n">
        <x:f>P20-O20</x:f>
        <x:v>30</x:v>
      </x:c>
      <x:c r="AH20" t="str">
        <x:v>Green absent 2024</x:v>
      </x:c>
      <x:c r="AI20" t="str">
        <x:v>https://elections.bc.ca/docs/rpt/statement-of-votes-2024-provincial-election.pdf</x:v>
      </x:c>
      <x:c r="AJ20" t="str">
        <x:v>https://results.elections.bc.ca/</x:v>
      </x:c>
    </x:row>
    <x:row r="21" ht="19" customHeight="1">
      <x:c r="A21" t="str">
        <x:v>Coquitlam-Maillardville</x:v>
      </x:c>
      <x:c r="B21" t="str">
        <x:v>Burnaby / Tri-Cities / New West</x:v>
      </x:c>
      <x:c r="C21" s="32" t="n">
        <x:v>11972</x:v>
      </x:c>
      <x:c r="D21" s="32" t="n">
        <x:v>9146</x:v>
      </x:c>
      <x:c r="E21" s="32" t="n">
        <x:v>1461</x:v>
      </x:c>
      <x:c r="F21" s="32" t="n">
        <x:v>535</x:v>
      </x:c>
      <x:c r="G21" s="32" t="n">
        <x:v>23114</x:v>
      </x:c>
      <x:c r="H21" s="32" t="n">
        <x:v>23140</x:v>
      </x:c>
      <x:c r="I21" s="32" t="n">
        <x:v>40666</x:v>
      </x:c>
      <x:c r="J21" s="28" t="n">
        <x:f>H21/I21</x:f>
        <x:v>0.5690257217331431</x:v>
      </x:c>
      <x:c r="K21" s="32" t="n">
        <x:v>8057</x:v>
      </x:c>
      <x:c r="L21" s="32" t="n">
        <x:v>9626</x:v>
      </x:c>
      <x:c r="M21" s="32" t="n">
        <x:v>1732</x:v>
      </x:c>
      <x:c r="N21" s="32" t="n">
        <x:v>0</x:v>
      </x:c>
      <x:c r="O21" s="32" t="n">
        <x:v>19415</x:v>
      </x:c>
      <x:c r="P21" s="32" t="n">
        <x:v>19451</x:v>
      </x:c>
      <x:c r="Q21" s="28" t="n">
        <x:f>C21/G21</x:f>
        <x:v>0.5179544864584235</x:v>
      </x:c>
      <x:c r="R21" s="28" t="n">
        <x:f>K21/O21</x:f>
        <x:v>0.41498841102240536</x:v>
      </x:c>
      <x:c r="S21" s="30" t="n">
        <x:f>(R21-Q21)*100</x:f>
        <x:v>-10.29660754360181</x:v>
      </x:c>
      <x:c r="T21" s="28" t="n">
        <x:f>D21/G21</x:f>
        <x:v>0.39569092324997834</x:v>
      </x:c>
      <x:c r="U21" s="28" t="n">
        <x:f>L21/O21</x:f>
        <x:v>0.49580221478238473</x:v>
      </x:c>
      <x:c r="V21" s="30" t="n">
        <x:f>(U21-T21)*100</x:f>
        <x:v>10.011129153240638</x:v>
      </x:c>
      <x:c r="W21" s="28" t="n">
        <x:f>E21/G21</x:f>
        <x:v>0.06320844509820887</x:v>
      </x:c>
      <x:c r="X21" s="28" t="n">
        <x:f>M21/O21</x:f>
        <x:v>0.08920937419520988</x:v>
      </x:c>
      <x:c r="Y21" s="30" t="n">
        <x:f>(X21-W21)*100</x:f>
        <x:v>2.600092909700101</x:v>
      </x:c>
      <x:c r="Z21" s="32" t="n">
        <x:f>K21-C21</x:f>
        <x:v>-3915</x:v>
      </x:c>
      <x:c r="AA21" s="32" t="n">
        <x:f>P21-H21</x:f>
        <x:v>-3689</x:v>
      </x:c>
      <x:c r="AB21" s="28" t="n">
        <x:f>P21/H21-1</x:f>
        <x:v>-0.1594209161624892</x:v>
      </x:c>
      <x:c r="AC21" t="str">
        <x:f>IF(C21=MAX(C21:F21),"NDP",IF(D21=MAX(C21:F21),"Conservative",IF(E21=MAX(C21:F21),"Green","Other")))</x:f>
        <x:v>NDP</x:v>
      </x:c>
      <x:c r="AD21" t="str">
        <x:f>IF(K21=MAX(K21:N21),"NDP",IF(L21=MAX(K21:N21),"Conservative",IF(M21=MAX(K21:N21),"Green","Other")))</x:f>
        <x:v>Conservative</x:v>
      </x:c>
      <x:c r="AE21" t="str">
        <x:f>IF(AC21=AD21,"No","Yes")</x:f>
        <x:v>Yes</x:v>
      </x:c>
      <x:c r="AF21" s="32" t="n">
        <x:f>LARGE(K21:N21,1)-LARGE(K21:N21,2)</x:f>
        <x:v>1569</x:v>
      </x:c>
      <x:c r="AG21" s="32" t="n">
        <x:f>P21-O21</x:f>
        <x:v>36</x:v>
      </x:c>
      <x:c r="AH21" t="str">
        <x:v>—</x:v>
      </x:c>
      <x:c r="AI21" t="str">
        <x:v>https://elections.bc.ca/docs/rpt/statement-of-votes-2024-provincial-election.pdf</x:v>
      </x:c>
      <x:c r="AJ21" t="str">
        <x:v>https://results.elections.bc.ca/</x:v>
      </x:c>
    </x:row>
    <x:row r="22" ht="19" customHeight="1">
      <x:c r="A22" t="str">
        <x:v>Courtenay-Comox</x:v>
      </x:c>
      <x:c r="B22" t="str">
        <x:v>Vancouver Island / Gulf Islands</x:v>
      </x:c>
      <x:c r="C22" s="32" t="n">
        <x:v>13388</x:v>
      </x:c>
      <x:c r="D22" s="32" t="n">
        <x:v>13481</x:v>
      </x:c>
      <x:c r="E22" s="32" t="n">
        <x:v>7202</x:v>
      </x:c>
      <x:c r="F22" s="32" t="n">
        <x:v>647</x:v>
      </x:c>
      <x:c r="G22" s="32" t="n">
        <x:v>34718</x:v>
      </x:c>
      <x:c r="H22" s="32" t="n">
        <x:v>34755</x:v>
      </x:c>
      <x:c r="I22" s="32" t="n">
        <x:v>50583</x:v>
      </x:c>
      <x:c r="J22" s="28" t="n">
        <x:f>H22/I22</x:f>
        <x:v>0.6870885475357333</x:v>
      </x:c>
      <x:c r="K22" s="32" t="n">
        <x:v>13390</x:v>
      </x:c>
      <x:c r="L22" s="32" t="n">
        <x:v>12694</x:v>
      </x:c>
      <x:c r="M22" s="32" t="n">
        <x:v>2882</x:v>
      </x:c>
      <x:c r="N22" s="32" t="n">
        <x:v>740</x:v>
      </x:c>
      <x:c r="O22" s="32" t="n">
        <x:v>29706</x:v>
      </x:c>
      <x:c r="P22" s="32" t="n">
        <x:v>29722</x:v>
      </x:c>
      <x:c r="Q22" s="28" t="n">
        <x:f>C22/G22</x:f>
        <x:v>0.3856212915490524</x:v>
      </x:c>
      <x:c r="R22" s="28" t="n">
        <x:f>K22/O22</x:f>
        <x:v>0.45075069009627683</x:v>
      </x:c>
      <x:c r="S22" s="30" t="n">
        <x:f>(R22-Q22)*100</x:f>
        <x:v>6.512939854722443</x:v>
      </x:c>
      <x:c r="T22" s="28" t="n">
        <x:f>D22/G22</x:f>
        <x:v>0.3883000172821015</x:v>
      </x:c>
      <x:c r="U22" s="28" t="n">
        <x:f>L22/O22</x:f>
        <x:v>0.4273210799165152</x:v>
      </x:c>
      <x:c r="V22" s="30" t="n">
        <x:f>(U22-T22)*100</x:f>
        <x:v>3.902106263441368</x:v>
      </x:c>
      <x:c r="W22" s="28" t="n">
        <x:f>E22/G22</x:f>
        <x:v>0.2074428250475258</x:v>
      </x:c>
      <x:c r="X22" s="28" t="n">
        <x:f>M22/O22</x:f>
        <x:v>0.09701743755470275</x:v>
      </x:c>
      <x:c r="Y22" s="30" t="n">
        <x:f>(X22-W22)*100</x:f>
        <x:v>-11.042538749282302</x:v>
      </x:c>
      <x:c r="Z22" s="32" t="n">
        <x:f>K22-C22</x:f>
        <x:v>2</x:v>
      </x:c>
      <x:c r="AA22" s="32" t="n">
        <x:f>P22-H22</x:f>
        <x:v>-5033</x:v>
      </x:c>
      <x:c r="AB22" s="28" t="n">
        <x:f>P22/H22-1</x:f>
        <x:v>-0.14481369587109771</x:v>
      </x:c>
      <x:c r="AC22" t="str">
        <x:f>IF(C22=MAX(C22:F22),"NDP",IF(D22=MAX(C22:F22),"Conservative",IF(E22=MAX(C22:F22),"Green","Other")))</x:f>
        <x:v>Conservative</x:v>
      </x:c>
      <x:c r="AD22" t="str">
        <x:f>IF(K22=MAX(K22:N22),"NDP",IF(L22=MAX(K22:N22),"Conservative",IF(M22=MAX(K22:N22),"Green","Other")))</x:f>
        <x:v>NDP</x:v>
      </x:c>
      <x:c r="AE22" t="str">
        <x:f>IF(AC22=AD22,"No","Yes")</x:f>
        <x:v>Yes</x:v>
      </x:c>
      <x:c r="AF22" s="32" t="n">
        <x:f>LARGE(K22:N22,1)-LARGE(K22:N22,2)</x:f>
        <x:v>696</x:v>
      </x:c>
      <x:c r="AG22" s="32" t="n">
        <x:f>P22-O22</x:f>
        <x:v>16</x:v>
      </x:c>
      <x:c r="AH22" t="str">
        <x:v>—</x:v>
      </x:c>
      <x:c r="AI22" t="str">
        <x:v>https://elections.bc.ca/docs/rpt/statement-of-votes-2024-provincial-election.pdf</x:v>
      </x:c>
      <x:c r="AJ22" t="str">
        <x:v>https://results.elections.bc.ca/</x:v>
      </x:c>
    </x:row>
    <x:row r="23" ht="19" customHeight="1">
      <x:c r="A23" t="str">
        <x:v>Cowichan Valley</x:v>
      </x:c>
      <x:c r="B23" t="str">
        <x:v>Vancouver Island / Gulf Islands</x:v>
      </x:c>
      <x:c r="C23" s="32" t="n">
        <x:v>11795</x:v>
      </x:c>
      <x:c r="D23" s="32" t="n">
        <x:v>10946</x:v>
      </x:c>
      <x:c r="E23" s="32" t="n">
        <x:v>5773</x:v>
      </x:c>
      <x:c r="F23" s="32" t="n">
        <x:v>604</x:v>
      </x:c>
      <x:c r="G23" s="32" t="n">
        <x:v>29118</x:v>
      </x:c>
      <x:c r="H23" s="32" t="n">
        <x:v>29157</x:v>
      </x:c>
      <x:c r="I23" s="32" t="n">
        <x:v>45901</x:v>
      </x:c>
      <x:c r="J23" s="28" t="n">
        <x:f>H23/I23</x:f>
        <x:v>0.6352149190649441</x:v>
      </x:c>
      <x:c r="K23" s="32" t="n">
        <x:v>10949</x:v>
      </x:c>
      <x:c r="L23" s="32" t="n">
        <x:v>11100</x:v>
      </x:c>
      <x:c r="M23" s="32" t="n">
        <x:v>3750</x:v>
      </x:c>
      <x:c r="N23" s="32" t="n">
        <x:v>100</x:v>
      </x:c>
      <x:c r="O23" s="32" t="n">
        <x:v>25899</x:v>
      </x:c>
      <x:c r="P23" s="32" t="n">
        <x:v>25940</x:v>
      </x:c>
      <x:c r="Q23" s="28" t="n">
        <x:f>C23/G23</x:f>
        <x:v>0.4050758980699224</x:v>
      </x:c>
      <x:c r="R23" s="28" t="n">
        <x:f>K23/O23</x:f>
        <x:v>0.4227576354299394</x:v>
      </x:c>
      <x:c r="S23" s="30" t="n">
        <x:f>(R23-Q23)*100</x:f>
        <x:v>1.7681737360016991</x:v>
      </x:c>
      <x:c r="T23" s="28" t="n">
        <x:f>D23/G23</x:f>
        <x:v>0.37591867573322346</x:v>
      </x:c>
      <x:c r="U23" s="28" t="n">
        <x:f>L23/O23</x:f>
        <x:v>0.428587976369744</x:v>
      </x:c>
      <x:c r="V23" s="30" t="n">
        <x:f>(U23-T23)*100</x:f>
        <x:v>5.266930063652053</x:v>
      </x:c>
      <x:c r="W23" s="28" t="n">
        <x:f>E23/G23</x:f>
        <x:v>0.19826224328593997</x:v>
      </x:c>
      <x:c r="X23" s="28" t="n">
        <x:f>M23/O23</x:f>
        <x:v>0.14479323526004864</x:v>
      </x:c>
      <x:c r="Y23" s="30" t="n">
        <x:f>(X23-W23)*100</x:f>
        <x:v>-5.346900802589133</x:v>
      </x:c>
      <x:c r="Z23" s="32" t="n">
        <x:f>K23-C23</x:f>
        <x:v>-846</x:v>
      </x:c>
      <x:c r="AA23" s="32" t="n">
        <x:f>P23-H23</x:f>
        <x:v>-3217</x:v>
      </x:c>
      <x:c r="AB23" s="28" t="n">
        <x:f>P23/H23-1</x:f>
        <x:v>-0.11033371060122787</x:v>
      </x:c>
      <x:c r="AC23" t="str">
        <x:f>IF(C23=MAX(C23:F23),"NDP",IF(D23=MAX(C23:F23),"Conservative",IF(E23=MAX(C23:F23),"Green","Other")))</x:f>
        <x:v>NDP</x:v>
      </x:c>
      <x:c r="AD23" t="str">
        <x:f>IF(K23=MAX(K23:N23),"NDP",IF(L23=MAX(K23:N23),"Conservative",IF(M23=MAX(K23:N23),"Green","Other")))</x:f>
        <x:v>Conservative</x:v>
      </x:c>
      <x:c r="AE23" t="str">
        <x:f>IF(AC23=AD23,"No","Yes")</x:f>
        <x:v>Yes</x:v>
      </x:c>
      <x:c r="AF23" s="32" t="n">
        <x:f>LARGE(K23:N23,1)-LARGE(K23:N23,2)</x:f>
        <x:v>151</x:v>
      </x:c>
      <x:c r="AG23" s="32" t="n">
        <x:f>P23-O23</x:f>
        <x:v>41</x:v>
      </x:c>
      <x:c r="AH23" t="str">
        <x:v>Close result &lt;=500 votes</x:v>
      </x:c>
      <x:c r="AI23" t="str">
        <x:v>https://elections.bc.ca/docs/rpt/statement-of-votes-2024-provincial-election.pdf</x:v>
      </x:c>
      <x:c r="AJ23" t="str">
        <x:v>https://results.elections.bc.ca/</x:v>
      </x:c>
    </x:row>
    <x:row r="24" ht="19" customHeight="1">
      <x:c r="A24" t="str">
        <x:v>Delta North</x:v>
      </x:c>
      <x:c r="B24" t="str">
        <x:v>Richmond / Delta</x:v>
      </x:c>
      <x:c r="C24" s="32" t="n">
        <x:v>10988</x:v>
      </x:c>
      <x:c r="D24" s="32" t="n">
        <x:v>8381</x:v>
      </x:c>
      <x:c r="E24" s="32" t="n">
        <x:v>1292</x:v>
      </x:c>
      <x:c r="F24" s="32" t="n">
        <x:v>177</x:v>
      </x:c>
      <x:c r="G24" s="32" t="n">
        <x:v>20838</x:v>
      </x:c>
      <x:c r="H24" s="32" t="n">
        <x:v>20876</x:v>
      </x:c>
      <x:c r="I24" s="32" t="n">
        <x:v>36062</x:v>
      </x:c>
      <x:c r="J24" s="28" t="n">
        <x:f>H24/I24</x:f>
        <x:v>0.5788919083800123</x:v>
      </x:c>
      <x:c r="K24" s="32" t="n">
        <x:v>7425</x:v>
      </x:c>
      <x:c r="L24" s="32" t="n">
        <x:v>9796</x:v>
      </x:c>
      <x:c r="M24" s="32" t="n">
        <x:v>0</x:v>
      </x:c>
      <x:c r="N24" s="32" t="n">
        <x:v>1062</x:v>
      </x:c>
      <x:c r="O24" s="32" t="n">
        <x:v>18283</x:v>
      </x:c>
      <x:c r="P24" s="32" t="n">
        <x:v>18338</x:v>
      </x:c>
      <x:c r="Q24" s="28" t="n">
        <x:f>C24/G24</x:f>
        <x:v>0.5273058834821001</x:v>
      </x:c>
      <x:c r="R24" s="28" t="n">
        <x:f>K24/O24</x:f>
        <x:v>0.4061149701908877</x:v>
      </x:c>
      <x:c r="S24" s="30" t="n">
        <x:f>(R24-Q24)*100</x:f>
        <x:v>-12.119091329121234</x:v>
      </x:c>
      <x:c r="T24" s="28" t="n">
        <x:f>D24/G24</x:f>
        <x:v>0.40219790766868224</x:v>
      </x:c>
      <x:c r="U24" s="28" t="n">
        <x:f>L24/O24</x:f>
        <x:v>0.5357982825575671</x:v>
      </x:c>
      <x:c r="V24" s="30" t="n">
        <x:f>(U24-T24)*100</x:f>
        <x:v>13.360037488888487</x:v>
      </x:c>
      <x:c r="W24" s="28" t="n">
        <x:f>E24/G24</x:f>
        <x:v>0.06200211152701795</x:v>
      </x:c>
      <x:c r="X24" s="28" t="n">
        <x:f>M24/O24</x:f>
        <x:v>0</x:v>
      </x:c>
      <x:c r="Y24" s="30" t="n">
        <x:f>(X24-W24)*100</x:f>
        <x:v>-6.200211152701795</x:v>
      </x:c>
      <x:c r="Z24" s="32" t="n">
        <x:f>K24-C24</x:f>
        <x:v>-3563</x:v>
      </x:c>
      <x:c r="AA24" s="32" t="n">
        <x:f>P24-H24</x:f>
        <x:v>-2538</x:v>
      </x:c>
      <x:c r="AB24" s="28" t="n">
        <x:f>P24/H24-1</x:f>
        <x:v>-0.12157501437056906</x:v>
      </x:c>
      <x:c r="AC24" t="str">
        <x:f>IF(C24=MAX(C24:F24),"NDP",IF(D24=MAX(C24:F24),"Conservative",IF(E24=MAX(C24:F24),"Green","Other")))</x:f>
        <x:v>NDP</x:v>
      </x:c>
      <x:c r="AD24" t="str">
        <x:f>IF(K24=MAX(K24:N24),"NDP",IF(L24=MAX(K24:N24),"Conservative",IF(M24=MAX(K24:N24),"Green","Other")))</x:f>
        <x:v>Conservative</x:v>
      </x:c>
      <x:c r="AE24" t="str">
        <x:f>IF(AC24=AD24,"No","Yes")</x:f>
        <x:v>Yes</x:v>
      </x:c>
      <x:c r="AF24" s="32" t="n">
        <x:f>LARGE(K24:N24,1)-LARGE(K24:N24,2)</x:f>
        <x:v>2371</x:v>
      </x:c>
      <x:c r="AG24" s="32" t="n">
        <x:f>P24-O24</x:f>
        <x:v>55</x:v>
      </x:c>
      <x:c r="AH24" t="str">
        <x:v>Green absent 2026</x:v>
      </x:c>
      <x:c r="AI24" t="str">
        <x:v>https://elections.bc.ca/docs/rpt/statement-of-votes-2024-provincial-election.pdf</x:v>
      </x:c>
      <x:c r="AJ24" t="str">
        <x:v>https://results.elections.bc.ca/</x:v>
      </x:c>
    </x:row>
    <x:row r="25" ht="19" customHeight="1">
      <x:c r="A25" t="str">
        <x:v>Delta South</x:v>
      </x:c>
      <x:c r="B25" t="str">
        <x:v>Richmond / Delta</x:v>
      </x:c>
      <x:c r="C25" s="32" t="n">
        <x:v>11822</x:v>
      </x:c>
      <x:c r="D25" s="32" t="n">
        <x:v>14491</x:v>
      </x:c>
      <x:c r="E25" s="32" t="n">
        <x:v>0</x:v>
      </x:c>
      <x:c r="F25" s="32" t="n">
        <x:v>0</x:v>
      </x:c>
      <x:c r="G25" s="32" t="n">
        <x:v>26313</x:v>
      </x:c>
      <x:c r="H25" s="32" t="n">
        <x:v>26414</x:v>
      </x:c>
      <x:c r="I25" s="32" t="n">
        <x:v>40611</x:v>
      </x:c>
      <x:c r="J25" s="28" t="n">
        <x:f>H25/I25</x:f>
        <x:v>0.6504149122159021</x:v>
      </x:c>
      <x:c r="K25" s="32" t="n">
        <x:v>6918</x:v>
      </x:c>
      <x:c r="L25" s="32" t="n">
        <x:v>14473</x:v>
      </x:c>
      <x:c r="M25" s="32" t="n">
        <x:v>1988</x:v>
      </x:c>
      <x:c r="N25" s="32" t="n">
        <x:v>799</x:v>
      </x:c>
      <x:c r="O25" s="32" t="n">
        <x:v>24178</x:v>
      </x:c>
      <x:c r="P25" s="32" t="n">
        <x:v>24209</x:v>
      </x:c>
      <x:c r="Q25" s="28" t="n">
        <x:f>C25/G25</x:f>
        <x:v>0.4492836240641508</x:v>
      </x:c>
      <x:c r="R25" s="28" t="n">
        <x:f>K25/O25</x:f>
        <x:v>0.2861278848539995</x:v>
      </x:c>
      <x:c r="S25" s="30" t="n">
        <x:f>(R25-Q25)*100</x:f>
        <x:v>-16.31557392101513</x:v>
      </x:c>
      <x:c r="T25" s="28" t="n">
        <x:f>D25/G25</x:f>
        <x:v>0.5507163759358492</x:v>
      </x:c>
      <x:c r="U25" s="28" t="n">
        <x:f>L25/O25</x:f>
        <x:v>0.5986020349077674</x:v>
      </x:c>
      <x:c r="V25" s="30" t="n">
        <x:f>(U25-T25)*100</x:f>
        <x:v>4.7885658971918215</x:v>
      </x:c>
      <x:c r="W25" s="28" t="n">
        <x:f>E25/G25</x:f>
        <x:v>0</x:v>
      </x:c>
      <x:c r="X25" s="28" t="n">
        <x:f>M25/O25</x:f>
        <x:v>0.08222350897510133</x:v>
      </x:c>
      <x:c r="Y25" s="30" t="n">
        <x:f>(X25-W25)*100</x:f>
        <x:v>8.222350897510132</x:v>
      </x:c>
      <x:c r="Z25" s="32" t="n">
        <x:f>K25-C25</x:f>
        <x:v>-4904</x:v>
      </x:c>
      <x:c r="AA25" s="32" t="n">
        <x:f>P25-H25</x:f>
        <x:v>-2205</x:v>
      </x:c>
      <x:c r="AB25" s="28" t="n">
        <x:f>P25/H25-1</x:f>
        <x:v>-0.08347845839327628</x:v>
      </x:c>
      <x:c r="AC25" t="str">
        <x:f>IF(C25=MAX(C25:F25),"NDP",IF(D25=MAX(C25:F25),"Conservative",IF(E25=MAX(C25:F25),"Green","Other")))</x:f>
        <x:v>Conservative</x:v>
      </x:c>
      <x:c r="AD25" t="str">
        <x:f>IF(K25=MAX(K25:N25),"NDP",IF(L25=MAX(K25:N25),"Conservative",IF(M25=MAX(K25:N25),"Green","Other")))</x:f>
        <x:v>Conservative</x:v>
      </x:c>
      <x:c r="AE25" t="str">
        <x:f>IF(AC25=AD25,"No","Yes")</x:f>
        <x:v>No</x:v>
      </x:c>
      <x:c r="AF25" s="32" t="n">
        <x:f>LARGE(K25:N25,1)-LARGE(K25:N25,2)</x:f>
        <x:v>7555</x:v>
      </x:c>
      <x:c r="AG25" s="32" t="n">
        <x:f>P25-O25</x:f>
        <x:v>31</x:v>
      </x:c>
      <x:c r="AH25" t="str">
        <x:v>Green absent 2024</x:v>
      </x:c>
      <x:c r="AI25" t="str">
        <x:v>https://elections.bc.ca/docs/rpt/statement-of-votes-2024-provincial-election.pdf</x:v>
      </x:c>
      <x:c r="AJ25" t="str">
        <x:v>https://results.elections.bc.ca/</x:v>
      </x:c>
    </x:row>
    <x:row r="26" ht="19" customHeight="1">
      <x:c r="A26" t="str">
        <x:v>Esquimalt-Colwood</x:v>
      </x:c>
      <x:c r="B26" t="str">
        <x:v>Vancouver Island / Gulf Islands</x:v>
      </x:c>
      <x:c r="C26" s="32" t="n">
        <x:v>15238</x:v>
      </x:c>
      <x:c r="D26" s="32" t="n">
        <x:v>8652</x:v>
      </x:c>
      <x:c r="E26" s="32" t="n">
        <x:v>5716</x:v>
      </x:c>
      <x:c r="F26" s="32" t="n">
        <x:v>0</x:v>
      </x:c>
      <x:c r="G26" s="32" t="n">
        <x:v>29606</x:v>
      </x:c>
      <x:c r="H26" s="32" t="n">
        <x:v>29643</x:v>
      </x:c>
      <x:c r="I26" s="32" t="n">
        <x:v>46799</x:v>
      </x:c>
      <x:c r="J26" s="28" t="n">
        <x:f>H26/I26</x:f>
        <x:v>0.6334109703198786</x:v>
      </x:c>
      <x:c r="K26" s="32" t="n">
        <x:v>10955</x:v>
      </x:c>
      <x:c r="L26" s="32" t="n">
        <x:v>7391</x:v>
      </x:c>
      <x:c r="M26" s="32" t="n">
        <x:v>5766</x:v>
      </x:c>
      <x:c r="N26" s="32" t="n">
        <x:v>1216</x:v>
      </x:c>
      <x:c r="O26" s="32" t="n">
        <x:v>25328</x:v>
      </x:c>
      <x:c r="P26" s="32" t="n">
        <x:v>25359</x:v>
      </x:c>
      <x:c r="Q26" s="28" t="n">
        <x:f>C26/G26</x:f>
        <x:v>0.5146929676416943</x:v>
      </x:c>
      <x:c r="R26" s="28" t="n">
        <x:f>K26/O26</x:f>
        <x:v>0.4325252684775742</x:v>
      </x:c>
      <x:c r="S26" s="30" t="n">
        <x:f>(R26-Q26)*100</x:f>
        <x:v>-8.216769916412003</x:v>
      </x:c>
      <x:c r="T26" s="28" t="n">
        <x:f>D26/G26</x:f>
        <x:v>0.29223805985273255</x:v>
      </x:c>
      <x:c r="U26" s="28" t="n">
        <x:f>L26/O26</x:f>
        <x:v>0.2918114339861023</x:v>
      </x:c>
      <x:c r="V26" s="30" t="n">
        <x:f>(U26-T26)*100</x:f>
        <x:v>-0.042662586663022584</x:v>
      </x:c>
      <x:c r="W26" s="28" t="n">
        <x:f>E26/G26</x:f>
        <x:v>0.1930689725055732</x:v>
      </x:c>
      <x:c r="X26" s="28" t="n">
        <x:f>M26/O26</x:f>
        <x:v>0.22765319014529375</x:v>
      </x:c>
      <x:c r="Y26" s="30" t="n">
        <x:f>(X26-W26)*100</x:f>
        <x:v>3.4584217639720554</x:v>
      </x:c>
      <x:c r="Z26" s="32" t="n">
        <x:f>K26-C26</x:f>
        <x:v>-4283</x:v>
      </x:c>
      <x:c r="AA26" s="32" t="n">
        <x:f>P26-H26</x:f>
        <x:v>-4284</x:v>
      </x:c>
      <x:c r="AB26" s="28" t="n">
        <x:f>P26/H26-1</x:f>
        <x:v>-0.1445197854468171</x:v>
      </x:c>
      <x:c r="AC26" t="str">
        <x:f>IF(C26=MAX(C26:F26),"NDP",IF(D26=MAX(C26:F26),"Conservative",IF(E26=MAX(C26:F26),"Green","Other")))</x:f>
        <x:v>NDP</x:v>
      </x:c>
      <x:c r="AD26" t="str">
        <x:f>IF(K26=MAX(K26:N26),"NDP",IF(L26=MAX(K26:N26),"Conservative",IF(M26=MAX(K26:N26),"Green","Other")))</x:f>
        <x:v>NDP</x:v>
      </x:c>
      <x:c r="AE26" t="str">
        <x:f>IF(AC26=AD26,"No","Yes")</x:f>
        <x:v>No</x:v>
      </x:c>
      <x:c r="AF26" s="32" t="n">
        <x:f>LARGE(K26:N26,1)-LARGE(K26:N26,2)</x:f>
        <x:v>3564</x:v>
      </x:c>
      <x:c r="AG26" s="32" t="n">
        <x:f>P26-O26</x:f>
        <x:v>31</x:v>
      </x:c>
      <x:c r="AH26" t="str">
        <x:v>—</x:v>
      </x:c>
      <x:c r="AI26" t="str">
        <x:v>https://elections.bc.ca/docs/rpt/statement-of-votes-2024-provincial-election.pdf</x:v>
      </x:c>
      <x:c r="AJ26" t="str">
        <x:v>https://results.elections.bc.ca/</x:v>
      </x:c>
    </x:row>
    <x:row r="27" ht="19" customHeight="1">
      <x:c r="A27" t="str">
        <x:v>Fraser-Nicola</x:v>
      </x:c>
      <x:c r="B27" t="str">
        <x:v>North / Central Interior / Coast</x:v>
      </x:c>
      <x:c r="C27" s="32" t="n">
        <x:v>6917</x:v>
      </x:c>
      <x:c r="D27" s="32" t="n">
        <x:v>10326</x:v>
      </x:c>
      <x:c r="E27" s="32" t="n">
        <x:v>1761</x:v>
      </x:c>
      <x:c r="F27" s="32" t="n">
        <x:v>0</x:v>
      </x:c>
      <x:c r="G27" s="32" t="n">
        <x:v>19004</x:v>
      </x:c>
      <x:c r="H27" s="32" t="n">
        <x:v>19031</x:v>
      </x:c>
      <x:c r="I27" s="32" t="n">
        <x:v>33542</x:v>
      </x:c>
      <x:c r="J27" s="28" t="n">
        <x:f>H27/I27</x:f>
        <x:v>0.5673782123904358</x:v>
      </x:c>
      <x:c r="K27" s="32" t="n">
        <x:v>4744</x:v>
      </x:c>
      <x:c r="L27" s="32" t="n">
        <x:v>9762</x:v>
      </x:c>
      <x:c r="M27" s="32" t="n">
        <x:v>2190</x:v>
      </x:c>
      <x:c r="N27" s="32" t="n">
        <x:v>0</x:v>
      </x:c>
      <x:c r="O27" s="32" t="n">
        <x:v>16696</x:v>
      </x:c>
      <x:c r="P27" s="32" t="n">
        <x:v>16730</x:v>
      </x:c>
      <x:c r="Q27" s="28" t="n">
        <x:f>C27/G27</x:f>
        <x:v>0.3639760050515681</x:v>
      </x:c>
      <x:c r="R27" s="28" t="n">
        <x:f>K27/O27</x:f>
        <x:v>0.2841399137517968</x:v>
      </x:c>
      <x:c r="S27" s="30" t="n">
        <x:f>(R27-Q27)*100</x:f>
        <x:v>-7.983609129977126</x:v>
      </x:c>
      <x:c r="T27" s="28" t="n">
        <x:f>D27/G27</x:f>
        <x:v>0.5433592927804672</x:v>
      </x:c>
      <x:c r="U27" s="28" t="n">
        <x:f>L27/O27</x:f>
        <x:v>0.5846909439386679</x:v>
      </x:c>
      <x:c r="V27" s="30" t="n">
        <x:f>(U27-T27)*100</x:f>
        <x:v>4.13316511582007</x:v>
      </x:c>
      <x:c r="W27" s="28" t="n">
        <x:f>E27/G27</x:f>
        <x:v>0.09266470216796464</x:v>
      </x:c>
      <x:c r="X27" s="28" t="n">
        <x:f>M27/O27</x:f>
        <x:v>0.13116914230953522</x:v>
      </x:c>
      <x:c r="Y27" s="30" t="n">
        <x:f>(X27-W27)*100</x:f>
        <x:v>3.8504440141570577</x:v>
      </x:c>
      <x:c r="Z27" s="32" t="n">
        <x:f>K27-C27</x:f>
        <x:v>-2173</x:v>
      </x:c>
      <x:c r="AA27" s="32" t="n">
        <x:f>P27-H27</x:f>
        <x:v>-2301</x:v>
      </x:c>
      <x:c r="AB27" s="28" t="n">
        <x:f>P27/H27-1</x:f>
        <x:v>-0.1209079922232148</x:v>
      </x:c>
      <x:c r="AC27" t="str">
        <x:f>IF(C27=MAX(C27:F27),"NDP",IF(D27=MAX(C27:F27),"Conservative",IF(E27=MAX(C27:F27),"Green","Other")))</x:f>
        <x:v>Conservative</x:v>
      </x:c>
      <x:c r="AD27" t="str">
        <x:f>IF(K27=MAX(K27:N27),"NDP",IF(L27=MAX(K27:N27),"Conservative",IF(M27=MAX(K27:N27),"Green","Other")))</x:f>
        <x:v>Conservative</x:v>
      </x:c>
      <x:c r="AE27" t="str">
        <x:f>IF(AC27=AD27,"No","Yes")</x:f>
        <x:v>No</x:v>
      </x:c>
      <x:c r="AF27" s="32" t="n">
        <x:f>LARGE(K27:N27,1)-LARGE(K27:N27,2)</x:f>
        <x:v>5018</x:v>
      </x:c>
      <x:c r="AG27" s="32" t="n">
        <x:f>P27-O27</x:f>
        <x:v>34</x:v>
      </x:c>
      <x:c r="AH27" t="str">
        <x:v>—</x:v>
      </x:c>
      <x:c r="AI27" t="str">
        <x:v>https://elections.bc.ca/docs/rpt/statement-of-votes-2024-provincial-election.pdf</x:v>
      </x:c>
      <x:c r="AJ27" t="str">
        <x:v>https://results.elections.bc.ca/</x:v>
      </x:c>
    </x:row>
    <x:row r="28" ht="19" customHeight="1">
      <x:c r="A28" t="str">
        <x:v>Juan de Fuca-Malahat</x:v>
      </x:c>
      <x:c r="B28" t="str">
        <x:v>Vancouver Island / Gulf Islands</x:v>
      </x:c>
      <x:c r="C28" s="32" t="n">
        <x:v>9308</x:v>
      </x:c>
      <x:c r="D28" s="32" t="n">
        <x:v>9167</x:v>
      </x:c>
      <x:c r="E28" s="32" t="n">
        <x:v>5522</x:v>
      </x:c>
      <x:c r="F28" s="32" t="n">
        <x:v>0</x:v>
      </x:c>
      <x:c r="G28" s="32" t="n">
        <x:v>23997</x:v>
      </x:c>
      <x:c r="H28" s="32" t="n">
        <x:v>24029</x:v>
      </x:c>
      <x:c r="I28" s="32" t="n">
        <x:v>37078</x:v>
      </x:c>
      <x:c r="J28" s="28" t="n">
        <x:f>H28/I28</x:f>
        <x:v>0.6480662387399536</x:v>
      </x:c>
      <x:c r="K28" s="32" t="n">
        <x:v>8478</x:v>
      </x:c>
      <x:c r="L28" s="32" t="n">
        <x:v>9246</x:v>
      </x:c>
      <x:c r="M28" s="32" t="n">
        <x:v>3880</x:v>
      </x:c>
      <x:c r="N28" s="32" t="n">
        <x:v>613</x:v>
      </x:c>
      <x:c r="O28" s="32" t="n">
        <x:v>22217</x:v>
      </x:c>
      <x:c r="P28" s="32" t="n">
        <x:v>22236</x:v>
      </x:c>
      <x:c r="Q28" s="28" t="n">
        <x:f>C28/G28</x:f>
        <x:v>0.3878818185606534</x:v>
      </x:c>
      <x:c r="R28" s="28" t="n">
        <x:f>K28/O28</x:f>
        <x:v>0.3815996759238421</x:v>
      </x:c>
      <x:c r="S28" s="30" t="n">
        <x:f>(R28-Q28)*100</x:f>
        <x:v>-0.6282142636811316</x:v>
      </x:c>
      <x:c r="T28" s="28" t="n">
        <x:f>D28/G28</x:f>
        <x:v>0.38200608409384507</x:v>
      </x:c>
      <x:c r="U28" s="28" t="n">
        <x:f>L28/O28</x:f>
        <x:v>0.41616779943286675</x:v>
      </x:c>
      <x:c r="V28" s="30" t="n">
        <x:f>(U28-T28)*100</x:f>
        <x:v>3.416171533902168</x:v>
      </x:c>
      <x:c r="W28" s="28" t="n">
        <x:f>E28/G28</x:f>
        <x:v>0.23011209734550153</x:v>
      </x:c>
      <x:c r="X28" s="28" t="n">
        <x:f>M28/O28</x:f>
        <x:v>0.17464104064455147</x:v>
      </x:c>
      <x:c r="Y28" s="30" t="n">
        <x:f>(X28-W28)*100</x:f>
        <x:v>-5.547105670095006</x:v>
      </x:c>
      <x:c r="Z28" s="32" t="n">
        <x:f>K28-C28</x:f>
        <x:v>-830</x:v>
      </x:c>
      <x:c r="AA28" s="32" t="n">
        <x:f>P28-H28</x:f>
        <x:v>-1793</x:v>
      </x:c>
      <x:c r="AB28" s="28" t="n">
        <x:f>P28/H28-1</x:f>
        <x:v>-0.07461816971159851</x:v>
      </x:c>
      <x:c r="AC28" t="str">
        <x:f>IF(C28=MAX(C28:F28),"NDP",IF(D28=MAX(C28:F28),"Conservative",IF(E28=MAX(C28:F28),"Green","Other")))</x:f>
        <x:v>NDP</x:v>
      </x:c>
      <x:c r="AD28" t="str">
        <x:f>IF(K28=MAX(K28:N28),"NDP",IF(L28=MAX(K28:N28),"Conservative",IF(M28=MAX(K28:N28),"Green","Other")))</x:f>
        <x:v>Conservative</x:v>
      </x:c>
      <x:c r="AE28" t="str">
        <x:f>IF(AC28=AD28,"No","Yes")</x:f>
        <x:v>Yes</x:v>
      </x:c>
      <x:c r="AF28" s="32" t="n">
        <x:f>LARGE(K28:N28,1)-LARGE(K28:N28,2)</x:f>
        <x:v>768</x:v>
      </x:c>
      <x:c r="AG28" s="32" t="n">
        <x:f>P28-O28</x:f>
        <x:v>19</x:v>
      </x:c>
      <x:c r="AH28" t="str">
        <x:v>—</x:v>
      </x:c>
      <x:c r="AI28" t="str">
        <x:v>https://elections.bc.ca/docs/rpt/statement-of-votes-2024-provincial-election.pdf</x:v>
      </x:c>
      <x:c r="AJ28" t="str">
        <x:v>https://results.elections.bc.ca/</x:v>
      </x:c>
    </x:row>
    <x:row r="29" ht="19" customHeight="1">
      <x:c r="A29" t="str">
        <x:v>Kamloops Centre</x:v>
      </x:c>
      <x:c r="B29" t="str">
        <x:v>Southern Interior / Kootenays / Coast</x:v>
      </x:c>
      <x:c r="C29" s="32" t="n">
        <x:v>10369</x:v>
      </x:c>
      <x:c r="D29" s="32" t="n">
        <x:v>12372</x:v>
      </x:c>
      <x:c r="E29" s="32" t="n">
        <x:v>2597</x:v>
      </x:c>
      <x:c r="F29" s="32" t="n">
        <x:v>0</x:v>
      </x:c>
      <x:c r="G29" s="32" t="n">
        <x:v>25338</x:v>
      </x:c>
      <x:c r="H29" s="32" t="n">
        <x:v>25374</x:v>
      </x:c>
      <x:c r="I29" s="32" t="n">
        <x:v>44059</x:v>
      </x:c>
      <x:c r="J29" s="28" t="n">
        <x:f>H29/I29</x:f>
        <x:v>0.5759095757960916</x:v>
      </x:c>
      <x:c r="K29" s="32" t="n">
        <x:v>6751</x:v>
      </x:c>
      <x:c r="L29" s="32" t="n">
        <x:v>11770</x:v>
      </x:c>
      <x:c r="M29" s="32" t="n">
        <x:v>2482</x:v>
      </x:c>
      <x:c r="N29" s="32" t="n">
        <x:v>1060</x:v>
      </x:c>
      <x:c r="O29" s="32" t="n">
        <x:v>22063</x:v>
      </x:c>
      <x:c r="P29" s="32" t="n">
        <x:v>22085</x:v>
      </x:c>
      <x:c r="Q29" s="28" t="n">
        <x:f>C29/G29</x:f>
        <x:v>0.40922724761228196</x:v>
      </x:c>
      <x:c r="R29" s="28" t="n">
        <x:f>K29/O29</x:f>
        <x:v>0.30598739971898653</x:v>
      </x:c>
      <x:c r="S29" s="30" t="n">
        <x:f>(R29-Q29)*100</x:f>
        <x:v>-10.323984789329543</x:v>
      </x:c>
      <x:c r="T29" s="28" t="n">
        <x:f>D29/G29</x:f>
        <x:v>0.4882784750177599</x:v>
      </x:c>
      <x:c r="U29" s="28" t="n">
        <x:f>L29/O29</x:f>
        <x:v>0.5334723292389975</x:v>
      </x:c>
      <x:c r="V29" s="30" t="n">
        <x:f>(U29-T29)*100</x:f>
        <x:v>4.519385422123756</x:v>
      </x:c>
      <x:c r="W29" s="28" t="n">
        <x:f>E29/G29</x:f>
        <x:v>0.10249427736995817</x:v>
      </x:c>
      <x:c r="X29" s="28" t="n">
        <x:f>M29/O29</x:f>
        <x:v>0.1124960340842134</x:v>
      </x:c>
      <x:c r="Y29" s="30" t="n">
        <x:f>(X29-W29)*100</x:f>
        <x:v>1.0001756714255225</x:v>
      </x:c>
      <x:c r="Z29" s="32" t="n">
        <x:f>K29-C29</x:f>
        <x:v>-3618</x:v>
      </x:c>
      <x:c r="AA29" s="32" t="n">
        <x:f>P29-H29</x:f>
        <x:v>-3289</x:v>
      </x:c>
      <x:c r="AB29" s="28" t="n">
        <x:f>P29/H29-1</x:f>
        <x:v>-0.1296208717584929</x:v>
      </x:c>
      <x:c r="AC29" t="str">
        <x:f>IF(C29=MAX(C29:F29),"NDP",IF(D29=MAX(C29:F29),"Conservative",IF(E29=MAX(C29:F29),"Green","Other")))</x:f>
        <x:v>Conservative</x:v>
      </x:c>
      <x:c r="AD29" t="str">
        <x:f>IF(K29=MAX(K29:N29),"NDP",IF(L29=MAX(K29:N29),"Conservative",IF(M29=MAX(K29:N29),"Green","Other")))</x:f>
        <x:v>Conservative</x:v>
      </x:c>
      <x:c r="AE29" t="str">
        <x:f>IF(AC29=AD29,"No","Yes")</x:f>
        <x:v>No</x:v>
      </x:c>
      <x:c r="AF29" s="32" t="n">
        <x:f>LARGE(K29:N29,1)-LARGE(K29:N29,2)</x:f>
        <x:v>5019</x:v>
      </x:c>
      <x:c r="AG29" s="32" t="n">
        <x:f>P29-O29</x:f>
        <x:v>22</x:v>
      </x:c>
      <x:c r="AH29" t="str">
        <x:v>—</x:v>
      </x:c>
      <x:c r="AI29" t="str">
        <x:v>https://elections.bc.ca/docs/rpt/statement-of-votes-2024-provincial-election.pdf</x:v>
      </x:c>
      <x:c r="AJ29" t="str">
        <x:v>https://results.elections.bc.ca/</x:v>
      </x:c>
    </x:row>
    <x:row r="30" ht="19" customHeight="1">
      <x:c r="A30" t="str">
        <x:v>Kamloops-North Thompson</x:v>
      </x:c>
      <x:c r="B30" t="str">
        <x:v>Southern Interior / Kootenays / Coast</x:v>
      </x:c>
      <x:c r="C30" s="32" t="n">
        <x:v>9874</x:v>
      </x:c>
      <x:c r="D30" s="32" t="n">
        <x:v>17930</x:v>
      </x:c>
      <x:c r="E30" s="32" t="n">
        <x:v>2209</x:v>
      </x:c>
      <x:c r="F30" s="32" t="n">
        <x:v>0</x:v>
      </x:c>
      <x:c r="G30" s="32" t="n">
        <x:v>30013</x:v>
      </x:c>
      <x:c r="H30" s="32" t="n">
        <x:v>30064</x:v>
      </x:c>
      <x:c r="I30" s="32" t="n">
        <x:v>48598</x:v>
      </x:c>
      <x:c r="J30" s="28" t="n">
        <x:f>H30/I30</x:f>
        <x:v>0.6186262809169102</x:v>
      </x:c>
      <x:c r="K30" s="32" t="n">
        <x:v>7617</x:v>
      </x:c>
      <x:c r="L30" s="32" t="n">
        <x:v>17232</x:v>
      </x:c>
      <x:c r="M30" s="32" t="n">
        <x:v>0</x:v>
      </x:c>
      <x:c r="N30" s="32" t="n">
        <x:v>1670</x:v>
      </x:c>
      <x:c r="O30" s="32" t="n">
        <x:v>26519</x:v>
      </x:c>
      <x:c r="P30" s="32" t="n">
        <x:v>26602</x:v>
      </x:c>
      <x:c r="Q30" s="28" t="n">
        <x:f>C30/G30</x:f>
        <x:v>0.3289907706660447</x:v>
      </x:c>
      <x:c r="R30" s="28" t="n">
        <x:f>K30/O30</x:f>
        <x:v>0.28722802518948676</x:v>
      </x:c>
      <x:c r="S30" s="30" t="n">
        <x:f>(R30-Q30)*100</x:f>
        <x:v>-4.176274547655795</x:v>
      </x:c>
      <x:c r="T30" s="28" t="n">
        <x:f>D30/G30</x:f>
        <x:v>0.597407789957685</x:v>
      </x:c>
      <x:c r="U30" s="28" t="n">
        <x:f>L30/O30</x:f>
        <x:v>0.6497982578528602</x:v>
      </x:c>
      <x:c r="V30" s="30" t="n">
        <x:f>(U30-T30)*100</x:f>
        <x:v>5.239046789517521</x:v>
      </x:c>
      <x:c r="W30" s="28" t="n">
        <x:f>E30/G30</x:f>
        <x:v>0.07360143937627028</x:v>
      </x:c>
      <x:c r="X30" s="28" t="n">
        <x:f>M30/O30</x:f>
        <x:v>0</x:v>
      </x:c>
      <x:c r="Y30" s="30" t="n">
        <x:f>(X30-W30)*100</x:f>
        <x:v>-7.360143937627028</x:v>
      </x:c>
      <x:c r="Z30" s="32" t="n">
        <x:f>K30-C30</x:f>
        <x:v>-2257</x:v>
      </x:c>
      <x:c r="AA30" s="32" t="n">
        <x:f>P30-H30</x:f>
        <x:v>-3462</x:v>
      </x:c>
      <x:c r="AB30" s="28" t="n">
        <x:f>P30/H30-1</x:f>
        <x:v>-0.11515433741351788</x:v>
      </x:c>
      <x:c r="AC30" t="str">
        <x:f>IF(C30=MAX(C30:F30),"NDP",IF(D30=MAX(C30:F30),"Conservative",IF(E30=MAX(C30:F30),"Green","Other")))</x:f>
        <x:v>Conservative</x:v>
      </x:c>
      <x:c r="AD30" t="str">
        <x:f>IF(K30=MAX(K30:N30),"NDP",IF(L30=MAX(K30:N30),"Conservative",IF(M30=MAX(K30:N30),"Green","Other")))</x:f>
        <x:v>Conservative</x:v>
      </x:c>
      <x:c r="AE30" t="str">
        <x:f>IF(AC30=AD30,"No","Yes")</x:f>
        <x:v>No</x:v>
      </x:c>
      <x:c r="AF30" s="32" t="n">
        <x:f>LARGE(K30:N30,1)-LARGE(K30:N30,2)</x:f>
        <x:v>9615</x:v>
      </x:c>
      <x:c r="AG30" s="32" t="n">
        <x:f>P30-O30</x:f>
        <x:v>83</x:v>
      </x:c>
      <x:c r="AH30" t="str">
        <x:v>Green absent 2026</x:v>
      </x:c>
      <x:c r="AI30" t="str">
        <x:v>https://elections.bc.ca/docs/rpt/statement-of-votes-2024-provincial-election.pdf</x:v>
      </x:c>
      <x:c r="AJ30" t="str">
        <x:v>https://results.elections.bc.ca/</x:v>
      </x:c>
    </x:row>
    <x:row r="31" ht="19" customHeight="1">
      <x:c r="A31" t="str">
        <x:v>Kelowna Centre</x:v>
      </x:c>
      <x:c r="B31" t="str">
        <x:v>Southern Interior / Kootenays / Coast</x:v>
      </x:c>
      <x:c r="C31" s="32" t="n">
        <x:v>10993</x:v>
      </x:c>
      <x:c r="D31" s="32" t="n">
        <x:v>11033</x:v>
      </x:c>
      <x:c r="E31" s="32" t="n">
        <x:v>1111</x:v>
      </x:c>
      <x:c r="F31" s="32" t="n">
        <x:v>2613</x:v>
      </x:c>
      <x:c r="G31" s="32" t="n">
        <x:v>25750</x:v>
      </x:c>
      <x:c r="H31" s="32" t="n">
        <x:v>25783</x:v>
      </x:c>
      <x:c r="I31" s="32" t="n">
        <x:v>45642</x:v>
      </x:c>
      <x:c r="J31" s="28" t="n">
        <x:f>H31/I31</x:f>
        <x:v>0.5648963673809211</x:v>
      </x:c>
      <x:c r="K31" s="32" t="n">
        <x:v>10659</x:v>
      </x:c>
      <x:c r="L31" s="32" t="n">
        <x:v>10791</x:v>
      </x:c>
      <x:c r="M31" s="32" t="n">
        <x:v>0</x:v>
      </x:c>
      <x:c r="N31" s="32" t="n">
        <x:v>873</x:v>
      </x:c>
      <x:c r="O31" s="32" t="n">
        <x:v>22323</x:v>
      </x:c>
      <x:c r="P31" s="32" t="n">
        <x:v>22379</x:v>
      </x:c>
      <x:c r="Q31" s="28" t="n">
        <x:f>C31/G31</x:f>
        <x:v>0.4269126213592233</x:v>
      </x:c>
      <x:c r="R31" s="28" t="n">
        <x:f>K31/O31</x:f>
        <x:v>0.4774895847332348</x:v>
      </x:c>
      <x:c r="S31" s="30" t="n">
        <x:f>(R31-Q31)*100</x:f>
        <x:v>5.057696337401146</x:v>
      </x:c>
      <x:c r="T31" s="28" t="n">
        <x:f>D31/G31</x:f>
        <x:v>0.42846601941747575</x:v>
      </x:c>
      <x:c r="U31" s="28" t="n">
        <x:f>L31/O31</x:f>
        <x:v>0.48340276844510144</x:v>
      </x:c>
      <x:c r="V31" s="30" t="n">
        <x:f>(U31-T31)*100</x:f>
        <x:v>5.493674902762569</x:v>
      </x:c>
      <x:c r="W31" s="28" t="n">
        <x:f>E31/G31</x:f>
        <x:v>0.04314563106796117</x:v>
      </x:c>
      <x:c r="X31" s="28" t="n">
        <x:f>M31/O31</x:f>
        <x:v>0</x:v>
      </x:c>
      <x:c r="Y31" s="30" t="n">
        <x:f>(X31-W31)*100</x:f>
        <x:v>-4.3145631067961165</x:v>
      </x:c>
      <x:c r="Z31" s="32" t="n">
        <x:f>K31-C31</x:f>
        <x:v>-334</x:v>
      </x:c>
      <x:c r="AA31" s="32" t="n">
        <x:f>P31-H31</x:f>
        <x:v>-3404</x:v>
      </x:c>
      <x:c r="AB31" s="28" t="n">
        <x:f>P31/H31-1</x:f>
        <x:v>-0.13202497769848354</x:v>
      </x:c>
      <x:c r="AC31" t="str">
        <x:f>IF(C31=MAX(C31:F31),"NDP",IF(D31=MAX(C31:F31),"Conservative",IF(E31=MAX(C31:F31),"Green","Other")))</x:f>
        <x:v>Conservative</x:v>
      </x:c>
      <x:c r="AD31" t="str">
        <x:f>IF(K31=MAX(K31:N31),"NDP",IF(L31=MAX(K31:N31),"Conservative",IF(M31=MAX(K31:N31),"Green","Other")))</x:f>
        <x:v>Conservative</x:v>
      </x:c>
      <x:c r="AE31" t="str">
        <x:f>IF(AC31=AD31,"No","Yes")</x:f>
        <x:v>No</x:v>
      </x:c>
      <x:c r="AF31" s="32" t="n">
        <x:f>LARGE(K31:N31,1)-LARGE(K31:N31,2)</x:f>
        <x:v>132</x:v>
      </x:c>
      <x:c r="AG31" s="32" t="n">
        <x:f>P31-O31</x:f>
        <x:v>56</x:v>
      </x:c>
      <x:c r="AH31" t="str">
        <x:v>Green absent 2026; Close result &lt;=500 votes</x:v>
      </x:c>
      <x:c r="AI31" t="str">
        <x:v>https://elections.bc.ca/docs/rpt/statement-of-votes-2024-provincial-election.pdf</x:v>
      </x:c>
      <x:c r="AJ31" t="str">
        <x:v>https://results.elections.bc.ca/</x:v>
      </x:c>
    </x:row>
    <x:row r="32" ht="19" customHeight="1">
      <x:c r="A32" t="str">
        <x:v>Kelowna-Lake Country-Coldstream</x:v>
      </x:c>
      <x:c r="B32" t="str">
        <x:v>Southern Interior / Kootenays / Coast</x:v>
      </x:c>
      <x:c r="C32" s="32" t="n">
        <x:v>9350</x:v>
      </x:c>
      <x:c r="D32" s="32" t="n">
        <x:v>14303</x:v>
      </x:c>
      <x:c r="E32" s="32" t="n">
        <x:v>1151</x:v>
      </x:c>
      <x:c r="F32" s="32" t="n">
        <x:v>1724</x:v>
      </x:c>
      <x:c r="G32" s="32" t="n">
        <x:v>26528</x:v>
      </x:c>
      <x:c r="H32" s="32" t="n">
        <x:v>26560</x:v>
      </x:c>
      <x:c r="I32" s="32" t="n">
        <x:v>45598</x:v>
      </x:c>
      <x:c r="J32" s="28" t="n">
        <x:f>H32/I32</x:f>
        <x:v>0.5824816877933243</x:v>
      </x:c>
      <x:c r="K32" s="32" t="n">
        <x:v>7255</x:v>
      </x:c>
      <x:c r="L32" s="32" t="n">
        <x:v>10637</x:v>
      </x:c>
      <x:c r="M32" s="32" t="n">
        <x:v>1823</x:v>
      </x:c>
      <x:c r="N32" s="32" t="n">
        <x:v>2532</x:v>
      </x:c>
      <x:c r="O32" s="32" t="n">
        <x:v>22247</x:v>
      </x:c>
      <x:c r="P32" s="32" t="n">
        <x:v>22289</x:v>
      </x:c>
      <x:c r="Q32" s="28" t="n">
        <x:f>C32/G32</x:f>
        <x:v>0.3524577804583836</x:v>
      </x:c>
      <x:c r="R32" s="28" t="n">
        <x:f>K32/O32</x:f>
        <x:v>0.3261113858048276</x:v>
      </x:c>
      <x:c r="S32" s="30" t="n">
        <x:f>(R32-Q32)*100</x:f>
        <x:v>-2.6346394653555985</x:v>
      </x:c>
      <x:c r="T32" s="28" t="n">
        <x:f>D32/G32</x:f>
        <x:v>0.539166164053076</x:v>
      </x:c>
      <x:c r="U32" s="28" t="n">
        <x:f>L32/O32</x:f>
        <x:v>0.4781318829505102</x:v>
      </x:c>
      <x:c r="V32" s="30" t="n">
        <x:f>(U32-T32)*100</x:f>
        <x:v>-6.103428110256587</x:v>
      </x:c>
      <x:c r="W32" s="28" t="n">
        <x:f>E32/G32</x:f>
        <x:v>0.043388118214716526</x:v>
      </x:c>
      <x:c r="X32" s="28" t="n">
        <x:f>M32/O32</x:f>
        <x:v>0.08194363284937295</x:v>
      </x:c>
      <x:c r="Y32" s="30" t="n">
        <x:f>(X32-W32)*100</x:f>
        <x:v>3.8555514634656425</x:v>
      </x:c>
      <x:c r="Z32" s="32" t="n">
        <x:f>K32-C32</x:f>
        <x:v>-2095</x:v>
      </x:c>
      <x:c r="AA32" s="32" t="n">
        <x:f>P32-H32</x:f>
        <x:v>-4271</x:v>
      </x:c>
      <x:c r="AB32" s="28" t="n">
        <x:f>P32/H32-1</x:f>
        <x:v>-0.16080572289156625</x:v>
      </x:c>
      <x:c r="AC32" t="str">
        <x:f>IF(C32=MAX(C32:F32),"NDP",IF(D32=MAX(C32:F32),"Conservative",IF(E32=MAX(C32:F32),"Green","Other")))</x:f>
        <x:v>Conservative</x:v>
      </x:c>
      <x:c r="AD32" t="str">
        <x:f>IF(K32=MAX(K32:N32),"NDP",IF(L32=MAX(K32:N32),"Conservative",IF(M32=MAX(K32:N32),"Green","Other")))</x:f>
        <x:v>Conservative</x:v>
      </x:c>
      <x:c r="AE32" t="str">
        <x:f>IF(AC32=AD32,"No","Yes")</x:f>
        <x:v>No</x:v>
      </x:c>
      <x:c r="AF32" s="32" t="n">
        <x:f>LARGE(K32:N32,1)-LARGE(K32:N32,2)</x:f>
        <x:v>3382</x:v>
      </x:c>
      <x:c r="AG32" s="32" t="n">
        <x:f>P32-O32</x:f>
        <x:v>42</x:v>
      </x:c>
      <x:c r="AH32" t="str">
        <x:v>—</x:v>
      </x:c>
      <x:c r="AI32" t="str">
        <x:v>https://elections.bc.ca/docs/rpt/statement-of-votes-2024-provincial-election.pdf</x:v>
      </x:c>
      <x:c r="AJ32" t="str">
        <x:v>https://results.elections.bc.ca/</x:v>
      </x:c>
    </x:row>
    <x:row r="33" ht="19" customHeight="1">
      <x:c r="A33" t="str">
        <x:v>Kelowna-Mission</x:v>
      </x:c>
      <x:c r="B33" t="str">
        <x:v>Southern Interior / Kootenays / Coast</x:v>
      </x:c>
      <x:c r="C33" s="32" t="n">
        <x:v>8913</x:v>
      </x:c>
      <x:c r="D33" s="32" t="n">
        <x:v>14071</x:v>
      </x:c>
      <x:c r="E33" s="32" t="n">
        <x:v>1349</x:v>
      </x:c>
      <x:c r="F33" s="32" t="n">
        <x:v>2996</x:v>
      </x:c>
      <x:c r="G33" s="32" t="n">
        <x:v>27329</x:v>
      </x:c>
      <x:c r="H33" s="32" t="n">
        <x:v>27372</x:v>
      </x:c>
      <x:c r="I33" s="32" t="n">
        <x:v>45617</x:v>
      </x:c>
      <x:c r="J33" s="28" t="n">
        <x:f>H33/I33</x:f>
        <x:v>0.6000394589736282</x:v>
      </x:c>
      <x:c r="K33" s="32" t="n">
        <x:v>6427</x:v>
      </x:c>
      <x:c r="L33" s="32" t="n">
        <x:v>13590</x:v>
      </x:c>
      <x:c r="M33" s="32" t="n">
        <x:v>2354</x:v>
      </x:c>
      <x:c r="N33" s="32" t="n">
        <x:v>757</x:v>
      </x:c>
      <x:c r="O33" s="32" t="n">
        <x:v>23128</x:v>
      </x:c>
      <x:c r="P33" s="32" t="n">
        <x:v>23159</x:v>
      </x:c>
      <x:c r="Q33" s="28" t="n">
        <x:f>C33/G33</x:f>
        <x:v>0.32613707051117863</x:v>
      </x:c>
      <x:c r="R33" s="28" t="n">
        <x:f>K33/O33</x:f>
        <x:v>0.27788827395364923</x:v>
      </x:c>
      <x:c r="S33" s="30" t="n">
        <x:f>(R33-Q33)*100</x:f>
        <x:v>-4.824879655752939</x:v>
      </x:c>
      <x:c r="T33" s="28" t="n">
        <x:f>D33/G33</x:f>
        <x:v>0.514874309341725</x:v>
      </x:c>
      <x:c r="U33" s="28" t="n">
        <x:f>L33/O33</x:f>
        <x:v>0.5875994465582843</x:v>
      </x:c>
      <x:c r="V33" s="30" t="n">
        <x:f>(U33-T33)*100</x:f>
        <x:v>7.272513721655938</x:v>
      </x:c>
      <x:c r="W33" s="28" t="n">
        <x:f>E33/G33</x:f>
        <x:v>0.04936148413772915</x:v>
      </x:c>
      <x:c r="X33" s="28" t="n">
        <x:f>M33/O33</x:f>
        <x:v>0.10178139052231062</x:v>
      </x:c>
      <x:c r="Y33" s="30" t="n">
        <x:f>(X33-W33)*100</x:f>
        <x:v>5.241990638458147</x:v>
      </x:c>
      <x:c r="Z33" s="32" t="n">
        <x:f>K33-C33</x:f>
        <x:v>-2486</x:v>
      </x:c>
      <x:c r="AA33" s="32" t="n">
        <x:f>P33-H33</x:f>
        <x:v>-4213</x:v>
      </x:c>
      <x:c r="AB33" s="28" t="n">
        <x:f>P33/H33-1</x:f>
        <x:v>-0.15391641093087827</x:v>
      </x:c>
      <x:c r="AC33" t="str">
        <x:f>IF(C33=MAX(C33:F33),"NDP",IF(D33=MAX(C33:F33),"Conservative",IF(E33=MAX(C33:F33),"Green","Other")))</x:f>
        <x:v>Conservative</x:v>
      </x:c>
      <x:c r="AD33" t="str">
        <x:f>IF(K33=MAX(K33:N33),"NDP",IF(L33=MAX(K33:N33),"Conservative",IF(M33=MAX(K33:N33),"Green","Other")))</x:f>
        <x:v>Conservative</x:v>
      </x:c>
      <x:c r="AE33" t="str">
        <x:f>IF(AC33=AD33,"No","Yes")</x:f>
        <x:v>No</x:v>
      </x:c>
      <x:c r="AF33" s="32" t="n">
        <x:f>LARGE(K33:N33,1)-LARGE(K33:N33,2)</x:f>
        <x:v>7163</x:v>
      </x:c>
      <x:c r="AG33" s="32" t="n">
        <x:f>P33-O33</x:f>
        <x:v>31</x:v>
      </x:c>
      <x:c r="AH33" t="str">
        <x:v>—</x:v>
      </x:c>
      <x:c r="AI33" t="str">
        <x:v>https://elections.bc.ca/docs/rpt/statement-of-votes-2024-provincial-election.pdf</x:v>
      </x:c>
      <x:c r="AJ33" t="str">
        <x:v>https://results.elections.bc.ca/</x:v>
      </x:c>
    </x:row>
    <x:row r="34" ht="19" customHeight="1">
      <x:c r="A34" t="str">
        <x:v>Kootenay Central</x:v>
      </x:c>
      <x:c r="B34" t="str">
        <x:v>Southern Interior / Kootenays / Coast</x:v>
      </x:c>
      <x:c r="C34" s="32" t="n">
        <x:v>8716</x:v>
      </x:c>
      <x:c r="D34" s="32" t="n">
        <x:v>6967</x:v>
      </x:c>
      <x:c r="E34" s="32" t="n">
        <x:v>4123</x:v>
      </x:c>
      <x:c r="F34" s="32" t="n">
        <x:v>2190</x:v>
      </x:c>
      <x:c r="G34" s="32" t="n">
        <x:v>21996</x:v>
      </x:c>
      <x:c r="H34" s="32" t="n">
        <x:v>22034</x:v>
      </x:c>
      <x:c r="I34" s="32" t="n">
        <x:v>34278</x:v>
      </x:c>
      <x:c r="J34" s="28" t="n">
        <x:f>H34/I34</x:f>
        <x:v>0.6428029640002334</x:v>
      </x:c>
      <x:c r="K34" s="32" t="n">
        <x:v>7618</x:v>
      </x:c>
      <x:c r="L34" s="32" t="n">
        <x:v>7151</x:v>
      </x:c>
      <x:c r="M34" s="32" t="n">
        <x:v>3779</x:v>
      </x:c>
      <x:c r="N34" s="32" t="n">
        <x:v>730</x:v>
      </x:c>
      <x:c r="O34" s="32" t="n">
        <x:v>19278</x:v>
      </x:c>
      <x:c r="P34" s="32" t="n">
        <x:v>19327</x:v>
      </x:c>
      <x:c r="Q34" s="28" t="n">
        <x:f>C34/G34</x:f>
        <x:v>0.3962538643389707</x:v>
      </x:c>
      <x:c r="R34" s="28" t="n">
        <x:f>K34/O34</x:f>
        <x:v>0.3951654735968462</x:v>
      </x:c>
      <x:c r="S34" s="30" t="n">
        <x:f>(R34-Q34)*100</x:f>
        <x:v>-0.10883907421245231</x:v>
      </x:c>
      <x:c r="T34" s="28" t="n">
        <x:f>D34/G34</x:f>
        <x:v>0.3167394071649391</x:v>
      </x:c>
      <x:c r="U34" s="28" t="n">
        <x:f>L34/O34</x:f>
        <x:v>0.3709409689801847</x:v>
      </x:c>
      <x:c r="V34" s="30" t="n">
        <x:f>(U34-T34)*100</x:f>
        <x:v>5.42015618152456</x:v>
      </x:c>
      <x:c r="W34" s="28" t="n">
        <x:f>E34/G34</x:f>
        <x:v>0.18744317148572467</x:v>
      </x:c>
      <x:c r="X34" s="28" t="n">
        <x:f>M34/O34</x:f>
        <x:v>0.1960265587716568</x:v>
      </x:c>
      <x:c r="Y34" s="30" t="n">
        <x:f>(X34-W34)*100</x:f>
        <x:v>0.8583387285932137</x:v>
      </x:c>
      <x:c r="Z34" s="32" t="n">
        <x:f>K34-C34</x:f>
        <x:v>-1098</x:v>
      </x:c>
      <x:c r="AA34" s="32" t="n">
        <x:f>P34-H34</x:f>
        <x:v>-2707</x:v>
      </x:c>
      <x:c r="AB34" s="28" t="n">
        <x:f>P34/H34-1</x:f>
        <x:v>-0.12285558682036857</x:v>
      </x:c>
      <x:c r="AC34" t="str">
        <x:f>IF(C34=MAX(C34:F34),"NDP",IF(D34=MAX(C34:F34),"Conservative",IF(E34=MAX(C34:F34),"Green","Other")))</x:f>
        <x:v>NDP</x:v>
      </x:c>
      <x:c r="AD34" t="str">
        <x:f>IF(K34=MAX(K34:N34),"NDP",IF(L34=MAX(K34:N34),"Conservative",IF(M34=MAX(K34:N34),"Green","Other")))</x:f>
        <x:v>NDP</x:v>
      </x:c>
      <x:c r="AE34" t="str">
        <x:f>IF(AC34=AD34,"No","Yes")</x:f>
        <x:v>No</x:v>
      </x:c>
      <x:c r="AF34" s="32" t="n">
        <x:f>LARGE(K34:N34,1)-LARGE(K34:N34,2)</x:f>
        <x:v>467</x:v>
      </x:c>
      <x:c r="AG34" s="32" t="n">
        <x:f>P34-O34</x:f>
        <x:v>49</x:v>
      </x:c>
      <x:c r="AH34" t="str">
        <x:v>Close result &lt;=500 votes</x:v>
      </x:c>
      <x:c r="AI34" t="str">
        <x:v>https://elections.bc.ca/docs/rpt/statement-of-votes-2024-provincial-election.pdf</x:v>
      </x:c>
      <x:c r="AJ34" t="str">
        <x:v>https://results.elections.bc.ca/</x:v>
      </x:c>
    </x:row>
    <x:row r="35" ht="19" customHeight="1">
      <x:c r="A35" t="str">
        <x:v>Kootenay-Monashee</x:v>
      </x:c>
      <x:c r="B35" t="str">
        <x:v>Southern Interior / Kootenays / Coast</x:v>
      </x:c>
      <x:c r="C35" s="32" t="n">
        <x:v>10202</x:v>
      </x:c>
      <x:c r="D35" s="32" t="n">
        <x:v>7616</x:v>
      </x:c>
      <x:c r="E35" s="32" t="n">
        <x:v>1785</x:v>
      </x:c>
      <x:c r="F35" s="32" t="n">
        <x:v>0</x:v>
      </x:c>
      <x:c r="G35" s="32" t="n">
        <x:v>19603</x:v>
      </x:c>
      <x:c r="H35" s="32" t="n">
        <x:v>19646</x:v>
      </x:c>
      <x:c r="I35" s="32" t="n">
        <x:v>32732</x:v>
      </x:c>
      <x:c r="J35" s="28" t="n">
        <x:f>H35/I35</x:f>
        <x:v>0.6002077477697666</x:v>
      </x:c>
      <x:c r="K35" s="32" t="n">
        <x:v>8526</x:v>
      </x:c>
      <x:c r="L35" s="32" t="n">
        <x:v>6632</x:v>
      </x:c>
      <x:c r="M35" s="32" t="n">
        <x:v>1822</x:v>
      </x:c>
      <x:c r="N35" s="32" t="n">
        <x:v>771</x:v>
      </x:c>
      <x:c r="O35" s="32" t="n">
        <x:v>17751</x:v>
      </x:c>
      <x:c r="P35" s="32" t="n">
        <x:v>17774</x:v>
      </x:c>
      <x:c r="Q35" s="28" t="n">
        <x:f>C35/G35</x:f>
        <x:v>0.5204305463449472</x:v>
      </x:c>
      <x:c r="R35" s="28" t="n">
        <x:f>K35/O35</x:f>
        <x:v>0.4803109683961467</x:v>
      </x:c>
      <x:c r="S35" s="30" t="n">
        <x:f>(R35-Q35)*100</x:f>
        <x:v>-4.011957794880056</x:v>
      </x:c>
      <x:c r="T35" s="28" t="n">
        <x:f>D35/G35</x:f>
        <x:v>0.3885119624547263</x:v>
      </x:c>
      <x:c r="U35" s="28" t="n">
        <x:f>L35/O35</x:f>
        <x:v>0.37361275421103035</x:v>
      </x:c>
      <x:c r="V35" s="30" t="n">
        <x:f>(U35-T35)*100</x:f>
        <x:v>-1.489920824369595</x:v>
      </x:c>
      <x:c r="W35" s="28" t="n">
        <x:f>E35/G35</x:f>
        <x:v>0.09105749120032648</x:v>
      </x:c>
      <x:c r="X35" s="28" t="n">
        <x:f>M35/O35</x:f>
        <x:v>0.10264210467015943</x:v>
      </x:c>
      <x:c r="Y35" s="30" t="n">
        <x:f>(X35-W35)*100</x:f>
        <x:v>1.1584613469832945</x:v>
      </x:c>
      <x:c r="Z35" s="32" t="n">
        <x:f>K35-C35</x:f>
        <x:v>-1676</x:v>
      </x:c>
      <x:c r="AA35" s="32" t="n">
        <x:f>P35-H35</x:f>
        <x:v>-1872</x:v>
      </x:c>
      <x:c r="AB35" s="28" t="n">
        <x:f>P35/H35-1</x:f>
        <x:v>-0.09528657233024529</x:v>
      </x:c>
      <x:c r="AC35" t="str">
        <x:f>IF(C35=MAX(C35:F35),"NDP",IF(D35=MAX(C35:F35),"Conservative",IF(E35=MAX(C35:F35),"Green","Other")))</x:f>
        <x:v>NDP</x:v>
      </x:c>
      <x:c r="AD35" t="str">
        <x:f>IF(K35=MAX(K35:N35),"NDP",IF(L35=MAX(K35:N35),"Conservative",IF(M35=MAX(K35:N35),"Green","Other")))</x:f>
        <x:v>NDP</x:v>
      </x:c>
      <x:c r="AE35" t="str">
        <x:f>IF(AC35=AD35,"No","Yes")</x:f>
        <x:v>No</x:v>
      </x:c>
      <x:c r="AF35" s="32" t="n">
        <x:f>LARGE(K35:N35,1)-LARGE(K35:N35,2)</x:f>
        <x:v>1894</x:v>
      </x:c>
      <x:c r="AG35" s="32" t="n">
        <x:f>P35-O35</x:f>
        <x:v>23</x:v>
      </x:c>
      <x:c r="AH35" t="str">
        <x:v>—</x:v>
      </x:c>
      <x:c r="AI35" t="str">
        <x:v>https://elections.bc.ca/docs/rpt/statement-of-votes-2024-provincial-election.pdf</x:v>
      </x:c>
      <x:c r="AJ35" t="str">
        <x:v>https://results.elections.bc.ca/</x:v>
      </x:c>
    </x:row>
    <x:row r="36" ht="19" customHeight="1">
      <x:c r="A36" t="str">
        <x:v>Kootenay-Rockies</x:v>
      </x:c>
      <x:c r="B36" t="str">
        <x:v>Southern Interior / Kootenays / Coast</x:v>
      </x:c>
      <x:c r="C36" s="32" t="n">
        <x:v>4184</x:v>
      </x:c>
      <x:c r="D36" s="32" t="n">
        <x:v>8217</x:v>
      </x:c>
      <x:c r="E36" s="32" t="n">
        <x:v>996</x:v>
      </x:c>
      <x:c r="F36" s="32" t="n">
        <x:v>5844</x:v>
      </x:c>
      <x:c r="G36" s="32" t="n">
        <x:v>19241</x:v>
      </x:c>
      <x:c r="H36" s="32" t="n">
        <x:v>19262</x:v>
      </x:c>
      <x:c r="I36" s="32" t="n">
        <x:v>31684</x:v>
      </x:c>
      <x:c r="J36" s="28" t="n">
        <x:f>H36/I36</x:f>
        <x:v>0.6079409165509405</x:v>
      </x:c>
      <x:c r="K36" s="32" t="n">
        <x:v>4404</x:v>
      </x:c>
      <x:c r="L36" s="32" t="n">
        <x:v>9130</x:v>
      </x:c>
      <x:c r="M36" s="32" t="n">
        <x:v>1165</x:v>
      </x:c>
      <x:c r="N36" s="32" t="n">
        <x:v>1513</x:v>
      </x:c>
      <x:c r="O36" s="32" t="n">
        <x:v>16212</x:v>
      </x:c>
      <x:c r="P36" s="32" t="n">
        <x:v>16239</x:v>
      </x:c>
      <x:c r="Q36" s="28" t="n">
        <x:f>C36/G36</x:f>
        <x:v>0.2174523153682241</x:v>
      </x:c>
      <x:c r="R36" s="28" t="n">
        <x:f>K36/O36</x:f>
        <x:v>0.2716506291635825</x:v>
      </x:c>
      <x:c r="S36" s="30" t="n">
        <x:f>(R36-Q36)*100</x:f>
        <x:v>5.419831379535841</x:v>
      </x:c>
      <x:c r="T36" s="28" t="n">
        <x:f>D36/G36</x:f>
        <x:v>0.4270568057793254</x:v>
      </x:c>
      <x:c r="U36" s="28" t="n">
        <x:f>L36/O36</x:f>
        <x:v>0.5631630890698248</x:v>
      </x:c>
      <x:c r="V36" s="30" t="n">
        <x:f>(U36-T36)*100</x:f>
        <x:v>13.61062832904994</x:v>
      </x:c>
      <x:c r="W36" s="28" t="n">
        <x:f>E36/G36</x:f>
        <x:v>0.051764461306584894</x:v>
      </x:c>
      <x:c r="X36" s="28" t="n">
        <x:f>M36/O36</x:f>
        <x:v>0.07186035035775969</x:v>
      </x:c>
      <x:c r="Y36" s="30" t="n">
        <x:f>(X36-W36)*100</x:f>
        <x:v>2.009588905117479</x:v>
      </x:c>
      <x:c r="Z36" s="32" t="n">
        <x:f>K36-C36</x:f>
        <x:v>220</x:v>
      </x:c>
      <x:c r="AA36" s="32" t="n">
        <x:f>P36-H36</x:f>
        <x:v>-3023</x:v>
      </x:c>
      <x:c r="AB36" s="28" t="n">
        <x:f>P36/H36-1</x:f>
        <x:v>-0.15694112760876333</x:v>
      </x:c>
      <x:c r="AC36" t="str">
        <x:f>IF(C36=MAX(C36:F36),"NDP",IF(D36=MAX(C36:F36),"Conservative",IF(E36=MAX(C36:F36),"Green","Other")))</x:f>
        <x:v>Conservative</x:v>
      </x:c>
      <x:c r="AD36" t="str">
        <x:f>IF(K36=MAX(K36:N36),"NDP",IF(L36=MAX(K36:N36),"Conservative",IF(M36=MAX(K36:N36),"Green","Other")))</x:f>
        <x:v>Conservative</x:v>
      </x:c>
      <x:c r="AE36" t="str">
        <x:f>IF(AC36=AD36,"No","Yes")</x:f>
        <x:v>No</x:v>
      </x:c>
      <x:c r="AF36" s="32" t="n">
        <x:f>LARGE(K36:N36,1)-LARGE(K36:N36,2)</x:f>
        <x:v>4726</x:v>
      </x:c>
      <x:c r="AG36" s="32" t="n">
        <x:f>P36-O36</x:f>
        <x:v>27</x:v>
      </x:c>
      <x:c r="AH36" t="str">
        <x:v>—</x:v>
      </x:c>
      <x:c r="AI36" t="str">
        <x:v>https://elections.bc.ca/docs/rpt/statement-of-votes-2024-provincial-election.pdf</x:v>
      </x:c>
      <x:c r="AJ36" t="str">
        <x:v>https://results.elections.bc.ca/</x:v>
      </x:c>
    </x:row>
    <x:row r="37" ht="19" customHeight="1">
      <x:c r="A37" t="str">
        <x:v>Ladysmith-Oceanside</x:v>
      </x:c>
      <x:c r="B37" t="str">
        <x:v>Vancouver Island / Gulf Islands</x:v>
      </x:c>
      <x:c r="C37" s="32" t="n">
        <x:v>14144</x:v>
      </x:c>
      <x:c r="D37" s="32" t="n">
        <x:v>12097</x:v>
      </x:c>
      <x:c r="E37" s="32" t="n">
        <x:v>2292</x:v>
      </x:c>
      <x:c r="F37" s="32" t="n">
        <x:v>5559</x:v>
      </x:c>
      <x:c r="G37" s="32" t="n">
        <x:v>34092</x:v>
      </x:c>
      <x:c r="H37" s="32" t="n">
        <x:v>34116</x:v>
      </x:c>
      <x:c r="I37" s="32" t="n">
        <x:v>49387</x:v>
      </x:c>
      <x:c r="J37" s="28" t="n">
        <x:f>H37/I37</x:f>
        <x:v>0.6907890740478263</x:v>
      </x:c>
      <x:c r="K37" s="32" t="n">
        <x:v>13380</x:v>
      </x:c>
      <x:c r="L37" s="32" t="n">
        <x:v>13367</x:v>
      </x:c>
      <x:c r="M37" s="32" t="n">
        <x:v>3365</x:v>
      </x:c>
      <x:c r="N37" s="32" t="n">
        <x:v>0</x:v>
      </x:c>
      <x:c r="O37" s="32" t="n">
        <x:v>30112</x:v>
      </x:c>
      <x:c r="P37" s="32" t="n">
        <x:v>30155</x:v>
      </x:c>
      <x:c r="Q37" s="28" t="n">
        <x:f>C37/G37</x:f>
        <x:v>0.41487739059016776</x:v>
      </x:c>
      <x:c r="R37" s="28" t="n">
        <x:f>K37/O37</x:f>
        <x:v>0.4443411264612115</x:v>
      </x:c>
      <x:c r="S37" s="30" t="n">
        <x:f>(R37-Q37)*100</x:f>
        <x:v>2.9463735871043726</x:v>
      </x:c>
      <x:c r="T37" s="28" t="n">
        <x:f>D37/G37</x:f>
        <x:v>0.3548339786460167</x:v>
      </x:c>
      <x:c r="U37" s="28" t="n">
        <x:f>L37/O37</x:f>
        <x:v>0.44390940488841657</x:v>
      </x:c>
      <x:c r="V37" s="30" t="n">
        <x:f>(U37-T37)*100</x:f>
        <x:v>8.907542624239989</x:v>
      </x:c>
      <x:c r="W37" s="28" t="n">
        <x:f>E37/G37</x:f>
        <x:v>0.06722984864484337</x:v>
      </x:c>
      <x:c r="X37" s="28" t="n">
        <x:f>M37/O37</x:f>
        <x:v>0.11174946865037194</x:v>
      </x:c>
      <x:c r="Y37" s="30" t="n">
        <x:f>(X37-W37)*100</x:f>
        <x:v>4.451962000552857</x:v>
      </x:c>
      <x:c r="Z37" s="32" t="n">
        <x:f>K37-C37</x:f>
        <x:v>-764</x:v>
      </x:c>
      <x:c r="AA37" s="32" t="n">
        <x:f>P37-H37</x:f>
        <x:v>-3961</x:v>
      </x:c>
      <x:c r="AB37" s="28" t="n">
        <x:f>P37/H37-1</x:f>
        <x:v>-0.11610388087700785</x:v>
      </x:c>
      <x:c r="AC37" t="str">
        <x:f>IF(C37=MAX(C37:F37),"NDP",IF(D37=MAX(C37:F37),"Conservative",IF(E37=MAX(C37:F37),"Green","Other")))</x:f>
        <x:v>NDP</x:v>
      </x:c>
      <x:c r="AD37" t="str">
        <x:f>IF(K37=MAX(K37:N37),"NDP",IF(L37=MAX(K37:N37),"Conservative",IF(M37=MAX(K37:N37),"Green","Other")))</x:f>
        <x:v>NDP</x:v>
      </x:c>
      <x:c r="AE37" t="str">
        <x:f>IF(AC37=AD37,"No","Yes")</x:f>
        <x:v>No</x:v>
      </x:c>
      <x:c r="AF37" s="32" t="n">
        <x:f>LARGE(K37:N37,1)-LARGE(K37:N37,2)</x:f>
        <x:v>13</x:v>
      </x:c>
      <x:c r="AG37" s="32" t="n">
        <x:f>P37-O37</x:f>
        <x:v>43</x:v>
      </x:c>
      <x:c r="AH37" t="str">
        <x:v>Close result &lt;=500 votes</x:v>
      </x:c>
      <x:c r="AI37" t="str">
        <x:v>https://elections.bc.ca/docs/rpt/statement-of-votes-2024-provincial-election.pdf</x:v>
      </x:c>
      <x:c r="AJ37" t="str">
        <x:v>https://results.elections.bc.ca/</x:v>
      </x:c>
    </x:row>
    <x:row r="38" ht="19" customHeight="1">
      <x:c r="A38" t="str">
        <x:v>Langford-Highlands</x:v>
      </x:c>
      <x:c r="B38" t="str">
        <x:v>Vancouver Island / Gulf Islands</x:v>
      </x:c>
      <x:c r="C38" s="32" t="n">
        <x:v>11444</x:v>
      </x:c>
      <x:c r="D38" s="32" t="n">
        <x:v>8251</x:v>
      </x:c>
      <x:c r="E38" s="32" t="n">
        <x:v>2368</x:v>
      </x:c>
      <x:c r="F38" s="32" t="n">
        <x:v>0</x:v>
      </x:c>
      <x:c r="G38" s="32" t="n">
        <x:v>22063</x:v>
      </x:c>
      <x:c r="H38" s="32" t="n">
        <x:v>22090</x:v>
      </x:c>
      <x:c r="I38" s="32" t="n">
        <x:v>37389</x:v>
      </x:c>
      <x:c r="J38" s="28" t="n">
        <x:f>H38/I38</x:f>
        <x:v>0.5908154804889139</x:v>
      </x:c>
      <x:c r="K38" s="32" t="n">
        <x:v>8737</x:v>
      </x:c>
      <x:c r="L38" s="32" t="n">
        <x:v>7588</x:v>
      </x:c>
      <x:c r="M38" s="32" t="n">
        <x:v>2550</x:v>
      </x:c>
      <x:c r="N38" s="32" t="n">
        <x:v>644</x:v>
      </x:c>
      <x:c r="O38" s="32" t="n">
        <x:v>19519</x:v>
      </x:c>
      <x:c r="P38" s="32" t="n">
        <x:v>19536</x:v>
      </x:c>
      <x:c r="Q38" s="28" t="n">
        <x:f>C38/G38</x:f>
        <x:v>0.5186964601368808</x:v>
      </x:c>
      <x:c r="R38" s="28" t="n">
        <x:f>K38/O38</x:f>
        <x:v>0.44761514421845383</x:v>
      </x:c>
      <x:c r="S38" s="30" t="n">
        <x:f>(R38-Q38)*100</x:f>
        <x:v>-7.108131591842692</x:v>
      </x:c>
      <x:c r="T38" s="28" t="n">
        <x:f>D38/G38</x:f>
        <x:v>0.37397452748946197</x:v>
      </x:c>
      <x:c r="U38" s="28" t="n">
        <x:f>L38/O38</x:f>
        <x:v>0.38874942363850606</x:v>
      </x:c>
      <x:c r="V38" s="30" t="n">
        <x:f>(U38-T38)*100</x:f>
        <x:v>1.4774896149044092</x:v>
      </x:c>
      <x:c r="W38" s="28" t="n">
        <x:f>E38/G38</x:f>
        <x:v>0.10732901237365726</x:v>
      </x:c>
      <x:c r="X38" s="28" t="n">
        <x:f>M38/O38</x:f>
        <x:v>0.1306419386239049</x:v>
      </x:c>
      <x:c r="Y38" s="30" t="n">
        <x:f>(X38-W38)*100</x:f>
        <x:v>2.331292625024765</x:v>
      </x:c>
      <x:c r="Z38" s="32" t="n">
        <x:f>K38-C38</x:f>
        <x:v>-2707</x:v>
      </x:c>
      <x:c r="AA38" s="32" t="n">
        <x:f>P38-H38</x:f>
        <x:v>-2554</x:v>
      </x:c>
      <x:c r="AB38" s="28" t="n">
        <x:f>P38/H38-1</x:f>
        <x:v>-0.11561792666364867</x:v>
      </x:c>
      <x:c r="AC38" t="str">
        <x:f>IF(C38=MAX(C38:F38),"NDP",IF(D38=MAX(C38:F38),"Conservative",IF(E38=MAX(C38:F38),"Green","Other")))</x:f>
        <x:v>NDP</x:v>
      </x:c>
      <x:c r="AD38" t="str">
        <x:f>IF(K38=MAX(K38:N38),"NDP",IF(L38=MAX(K38:N38),"Conservative",IF(M38=MAX(K38:N38),"Green","Other")))</x:f>
        <x:v>NDP</x:v>
      </x:c>
      <x:c r="AE38" t="str">
        <x:f>IF(AC38=AD38,"No","Yes")</x:f>
        <x:v>No</x:v>
      </x:c>
      <x:c r="AF38" s="32" t="n">
        <x:f>LARGE(K38:N38,1)-LARGE(K38:N38,2)</x:f>
        <x:v>1149</x:v>
      </x:c>
      <x:c r="AG38" s="32" t="n">
        <x:f>P38-O38</x:f>
        <x:v>17</x:v>
      </x:c>
      <x:c r="AH38" t="str">
        <x:v>—</x:v>
      </x:c>
      <x:c r="AI38" t="str">
        <x:v>https://elections.bc.ca/docs/rpt/statement-of-votes-2024-provincial-election.pdf</x:v>
      </x:c>
      <x:c r="AJ38" t="str">
        <x:v>https://results.elections.bc.ca/</x:v>
      </x:c>
    </x:row>
    <x:row r="39" ht="19" customHeight="1">
      <x:c r="A39" t="str">
        <x:v>Langley-Abbotsford</x:v>
      </x:c>
      <x:c r="B39" t="str">
        <x:v>Fraser Valley / Ridge / Langley</x:v>
      </x:c>
      <x:c r="C39" s="32" t="n">
        <x:v>8691</x:v>
      </x:c>
      <x:c r="D39" s="32" t="n">
        <x:v>14341</x:v>
      </x:c>
      <x:c r="E39" s="32" t="n">
        <x:v>1434</x:v>
      </x:c>
      <x:c r="F39" s="32" t="n">
        <x:v>1304</x:v>
      </x:c>
      <x:c r="G39" s="32" t="n">
        <x:v>25770</x:v>
      </x:c>
      <x:c r="H39" s="32" t="n">
        <x:v>25836</x:v>
      </x:c>
      <x:c r="I39" s="32" t="n">
        <x:v>43448</x:v>
      </x:c>
      <x:c r="J39" s="28" t="n">
        <x:f>H39/I39</x:f>
        <x:v>0.5946418707420364</x:v>
      </x:c>
      <x:c r="K39" s="32" t="n">
        <x:v>5199</x:v>
      </x:c>
      <x:c r="L39" s="32" t="n">
        <x:v>13474</x:v>
      </x:c>
      <x:c r="M39" s="32" t="n">
        <x:v>1874</x:v>
      </x:c>
      <x:c r="N39" s="32" t="n">
        <x:v>1403</x:v>
      </x:c>
      <x:c r="O39" s="32" t="n">
        <x:v>21950</x:v>
      </x:c>
      <x:c r="P39" s="32" t="n">
        <x:v>22007</x:v>
      </x:c>
      <x:c r="Q39" s="28" t="n">
        <x:f>C39/G39</x:f>
        <x:v>0.3372526193247963</x:v>
      </x:c>
      <x:c r="R39" s="28" t="n">
        <x:f>K39/O39</x:f>
        <x:v>0.23685649202733486</x:v>
      </x:c>
      <x:c r="S39" s="30" t="n">
        <x:f>(R39-Q39)*100</x:f>
        <x:v>-10.039612729746143</x:v>
      </x:c>
      <x:c r="T39" s="28" t="n">
        <x:f>D39/G39</x:f>
        <x:v>0.5564998059759411</x:v>
      </x:c>
      <x:c r="U39" s="28" t="n">
        <x:f>L39/O39</x:f>
        <x:v>0.6138496583143508</x:v>
      </x:c>
      <x:c r="V39" s="30" t="n">
        <x:f>(U39-T39)*100</x:f>
        <x:v>5.734985233840972</x:v>
      </x:c>
      <x:c r="W39" s="28" t="n">
        <x:f>E39/G39</x:f>
        <x:v>0.05564610011641444</x:v>
      </x:c>
      <x:c r="X39" s="28" t="n">
        <x:f>M39/O39</x:f>
        <x:v>0.08537585421412301</x:v>
      </x:c>
      <x:c r="Y39" s="30" t="n">
        <x:f>(X39-W39)*100</x:f>
        <x:v>2.9729754097708576</x:v>
      </x:c>
      <x:c r="Z39" s="32" t="n">
        <x:f>K39-C39</x:f>
        <x:v>-3492</x:v>
      </x:c>
      <x:c r="AA39" s="32" t="n">
        <x:f>P39-H39</x:f>
        <x:v>-3829</x:v>
      </x:c>
      <x:c r="AB39" s="28" t="n">
        <x:f>P39/H39-1</x:f>
        <x:v>-0.14820405635547296</x:v>
      </x:c>
      <x:c r="AC39" t="str">
        <x:f>IF(C39=MAX(C39:F39),"NDP",IF(D39=MAX(C39:F39),"Conservative",IF(E39=MAX(C39:F39),"Green","Other")))</x:f>
        <x:v>Conservative</x:v>
      </x:c>
      <x:c r="AD39" t="str">
        <x:f>IF(K39=MAX(K39:N39),"NDP",IF(L39=MAX(K39:N39),"Conservative",IF(M39=MAX(K39:N39),"Green","Other")))</x:f>
        <x:v>Conservative</x:v>
      </x:c>
      <x:c r="AE39" t="str">
        <x:f>IF(AC39=AD39,"No","Yes")</x:f>
        <x:v>No</x:v>
      </x:c>
      <x:c r="AF39" s="32" t="n">
        <x:f>LARGE(K39:N39,1)-LARGE(K39:N39,2)</x:f>
        <x:v>8275</x:v>
      </x:c>
      <x:c r="AG39" s="32" t="n">
        <x:f>P39-O39</x:f>
        <x:v>57</x:v>
      </x:c>
      <x:c r="AH39" t="str">
        <x:v>—</x:v>
      </x:c>
      <x:c r="AI39" t="str">
        <x:v>https://elections.bc.ca/docs/rpt/statement-of-votes-2024-provincial-election.pdf</x:v>
      </x:c>
      <x:c r="AJ39" t="str">
        <x:v>https://results.elections.bc.ca/</x:v>
      </x:c>
    </x:row>
    <x:row r="40" ht="19" customHeight="1">
      <x:c r="A40" t="str">
        <x:v>Langley-Walnut Grove</x:v>
      </x:c>
      <x:c r="B40" t="str">
        <x:v>Fraser Valley / Ridge / Langley</x:v>
      </x:c>
      <x:c r="C40" s="32" t="n">
        <x:v>10949</x:v>
      </x:c>
      <x:c r="D40" s="32" t="n">
        <x:v>12121</x:v>
      </x:c>
      <x:c r="E40" s="32" t="n">
        <x:v>1254</x:v>
      </x:c>
      <x:c r="F40" s="32" t="n">
        <x:v>134</x:v>
      </x:c>
      <x:c r="G40" s="32" t="n">
        <x:v>24458</x:v>
      </x:c>
      <x:c r="H40" s="32" t="n">
        <x:v>24485</x:v>
      </x:c>
      <x:c r="I40" s="32" t="n">
        <x:v>42213</x:v>
      </x:c>
      <x:c r="J40" s="28" t="n">
        <x:f>H40/I40</x:f>
        <x:v>0.5800345865017885</x:v>
      </x:c>
      <x:c r="K40" s="32" t="n">
        <x:v>6846</x:v>
      </x:c>
      <x:c r="L40" s="32" t="n">
        <x:v>12310</x:v>
      </x:c>
      <x:c r="M40" s="32" t="n">
        <x:v>1560</x:v>
      </x:c>
      <x:c r="N40" s="32" t="n">
        <x:v>944</x:v>
      </x:c>
      <x:c r="O40" s="32" t="n">
        <x:v>21660</x:v>
      </x:c>
      <x:c r="P40" s="32" t="n">
        <x:v>21678</x:v>
      </x:c>
      <x:c r="Q40" s="28" t="n">
        <x:f>C40/G40</x:f>
        <x:v>0.44766538555891733</x:v>
      </x:c>
      <x:c r="R40" s="28" t="n">
        <x:f>K40/O40</x:f>
        <x:v>0.31606648199445986</x:v>
      </x:c>
      <x:c r="S40" s="30" t="n">
        <x:f>(R40-Q40)*100</x:f>
        <x:v>-13.159890356445747</x:v>
      </x:c>
      <x:c r="T40" s="28" t="n">
        <x:f>D40/G40</x:f>
        <x:v>0.4955842669065337</x:v>
      </x:c>
      <x:c r="U40" s="28" t="n">
        <x:f>L40/O40</x:f>
        <x:v>0.5683287165281625</x:v>
      </x:c>
      <x:c r="V40" s="30" t="n">
        <x:f>(U40-T40)*100</x:f>
        <x:v>7.274444962162885</x:v>
      </x:c>
      <x:c r="W40" s="28" t="n">
        <x:f>E40/G40</x:f>
        <x:v>0.05127156758524818</x:v>
      </x:c>
      <x:c r="X40" s="28" t="n">
        <x:f>M40/O40</x:f>
        <x:v>0.07202216066481995</x:v>
      </x:c>
      <x:c r="Y40" s="30" t="n">
        <x:f>(X40-W40)*100</x:f>
        <x:v>2.075059307957177</x:v>
      </x:c>
      <x:c r="Z40" s="32" t="n">
        <x:f>K40-C40</x:f>
        <x:v>-4103</x:v>
      </x:c>
      <x:c r="AA40" s="32" t="n">
        <x:f>P40-H40</x:f>
        <x:v>-2807</x:v>
      </x:c>
      <x:c r="AB40" s="28" t="n">
        <x:f>P40/H40-1</x:f>
        <x:v>-0.11464161731672451</x:v>
      </x:c>
      <x:c r="AC40" t="str">
        <x:f>IF(C40=MAX(C40:F40),"NDP",IF(D40=MAX(C40:F40),"Conservative",IF(E40=MAX(C40:F40),"Green","Other")))</x:f>
        <x:v>Conservative</x:v>
      </x:c>
      <x:c r="AD40" t="str">
        <x:f>IF(K40=MAX(K40:N40),"NDP",IF(L40=MAX(K40:N40),"Conservative",IF(M40=MAX(K40:N40),"Green","Other")))</x:f>
        <x:v>Conservative</x:v>
      </x:c>
      <x:c r="AE40" t="str">
        <x:f>IF(AC40=AD40,"No","Yes")</x:f>
        <x:v>No</x:v>
      </x:c>
      <x:c r="AF40" s="32" t="n">
        <x:f>LARGE(K40:N40,1)-LARGE(K40:N40,2)</x:f>
        <x:v>5464</x:v>
      </x:c>
      <x:c r="AG40" s="32" t="n">
        <x:f>P40-O40</x:f>
        <x:v>18</x:v>
      </x:c>
      <x:c r="AH40" t="str">
        <x:v>—</x:v>
      </x:c>
      <x:c r="AI40" t="str">
        <x:v>https://elections.bc.ca/docs/rpt/statement-of-votes-2024-provincial-election.pdf</x:v>
      </x:c>
      <x:c r="AJ40" t="str">
        <x:v>https://results.elections.bc.ca/</x:v>
      </x:c>
    </x:row>
    <x:row r="41" ht="19" customHeight="1">
      <x:c r="A41" t="str">
        <x:v>Langley-Willowbrook</x:v>
      </x:c>
      <x:c r="B41" t="str">
        <x:v>Fraser Valley / Ridge / Langley</x:v>
      </x:c>
      <x:c r="C41" s="32" t="n">
        <x:v>10112</x:v>
      </x:c>
      <x:c r="D41" s="32" t="n">
        <x:v>10979</x:v>
      </x:c>
      <x:c r="E41" s="32" t="n">
        <x:v>1670</x:v>
      </x:c>
      <x:c r="F41" s="32" t="n">
        <x:v>0</x:v>
      </x:c>
      <x:c r="G41" s="32" t="n">
        <x:v>22761</x:v>
      </x:c>
      <x:c r="H41" s="32" t="n">
        <x:v>22779</x:v>
      </x:c>
      <x:c r="I41" s="32" t="n">
        <x:v>41088</x:v>
      </x:c>
      <x:c r="J41" s="28" t="n">
        <x:f>H41/I41</x:f>
        <x:v>0.5543954439252337</x:v>
      </x:c>
      <x:c r="K41" s="32" t="n">
        <x:v>6834</x:v>
      </x:c>
      <x:c r="L41" s="32" t="n">
        <x:v>9978</x:v>
      </x:c>
      <x:c r="M41" s="32" t="n">
        <x:v>1486</x:v>
      </x:c>
      <x:c r="N41" s="32" t="n">
        <x:v>700</x:v>
      </x:c>
      <x:c r="O41" s="32" t="n">
        <x:v>18998</x:v>
      </x:c>
      <x:c r="P41" s="32" t="n">
        <x:v>19039</x:v>
      </x:c>
      <x:c r="Q41" s="28" t="n">
        <x:f>C41/G41</x:f>
        <x:v>0.44426870524142176</x:v>
      </x:c>
      <x:c r="R41" s="28" t="n">
        <x:f>K41/O41</x:f>
        <x:v>0.3597220760080008</x:v>
      </x:c>
      <x:c r="S41" s="30" t="n">
        <x:f>(R41-Q41)*100</x:f>
        <x:v>-8.454662923342093</x:v>
      </x:c>
      <x:c r="T41" s="28" t="n">
        <x:f>D41/G41</x:f>
        <x:v>0.48236017749659504</x:v>
      </x:c>
      <x:c r="U41" s="28" t="n">
        <x:f>L41/O41</x:f>
        <x:v>0.525213180334772</x:v>
      </x:c>
      <x:c r="V41" s="30" t="n">
        <x:f>(U41-T41)*100</x:f>
        <x:v>4.2853002838177</x:v>
      </x:c>
      <x:c r="W41" s="28" t="n">
        <x:f>E41/G41</x:f>
        <x:v>0.07337111726198321</x:v>
      </x:c>
      <x:c r="X41" s="28" t="n">
        <x:f>M41/O41</x:f>
        <x:v>0.07821875986945995</x:v>
      </x:c>
      <x:c r="Y41" s="30" t="n">
        <x:f>(X41-W41)*100</x:f>
        <x:v>0.4847642607476735</x:v>
      </x:c>
      <x:c r="Z41" s="32" t="n">
        <x:f>K41-C41</x:f>
        <x:v>-3278</x:v>
      </x:c>
      <x:c r="AA41" s="32" t="n">
        <x:f>P41-H41</x:f>
        <x:v>-3740</x:v>
      </x:c>
      <x:c r="AB41" s="28" t="n">
        <x:f>P41/H41-1</x:f>
        <x:v>-0.1641863119539927</x:v>
      </x:c>
      <x:c r="AC41" t="str">
        <x:f>IF(C41=MAX(C41:F41),"NDP",IF(D41=MAX(C41:F41),"Conservative",IF(E41=MAX(C41:F41),"Green","Other")))</x:f>
        <x:v>Conservative</x:v>
      </x:c>
      <x:c r="AD41" t="str">
        <x:f>IF(K41=MAX(K41:N41),"NDP",IF(L41=MAX(K41:N41),"Conservative",IF(M41=MAX(K41:N41),"Green","Other")))</x:f>
        <x:v>Conservative</x:v>
      </x:c>
      <x:c r="AE41" t="str">
        <x:f>IF(AC41=AD41,"No","Yes")</x:f>
        <x:v>No</x:v>
      </x:c>
      <x:c r="AF41" s="32" t="n">
        <x:f>LARGE(K41:N41,1)-LARGE(K41:N41,2)</x:f>
        <x:v>3144</x:v>
      </x:c>
      <x:c r="AG41" s="32" t="n">
        <x:f>P41-O41</x:f>
        <x:v>41</x:v>
      </x:c>
      <x:c r="AH41" t="str">
        <x:v>—</x:v>
      </x:c>
      <x:c r="AI41" t="str">
        <x:v>https://elections.bc.ca/docs/rpt/statement-of-votes-2024-provincial-election.pdf</x:v>
      </x:c>
      <x:c r="AJ41" t="str">
        <x:v>https://results.elections.bc.ca/</x:v>
      </x:c>
    </x:row>
    <x:row r="42" ht="19" customHeight="1">
      <x:c r="A42" t="str">
        <x:v>Maple Ridge East</x:v>
      </x:c>
      <x:c r="B42" t="str">
        <x:v>Fraser Valley / Ridge / Langley</x:v>
      </x:c>
      <x:c r="C42" s="32" t="n">
        <x:v>11961</x:v>
      </x:c>
      <x:c r="D42" s="32" t="n">
        <x:v>12058</x:v>
      </x:c>
      <x:c r="E42" s="32" t="n">
        <x:v>1626</x:v>
      </x:c>
      <x:c r="F42" s="32" t="n">
        <x:v>0</x:v>
      </x:c>
      <x:c r="G42" s="32" t="n">
        <x:v>25645</x:v>
      </x:c>
      <x:c r="H42" s="32" t="n">
        <x:v>25694</x:v>
      </x:c>
      <x:c r="I42" s="32" t="n">
        <x:v>44335</x:v>
      </x:c>
      <x:c r="J42" s="28" t="n">
        <x:f>H42/I42</x:f>
        <x:v>0.5795421224765986</x:v>
      </x:c>
      <x:c r="K42" s="32" t="n">
        <x:v>8398</x:v>
      </x:c>
      <x:c r="L42" s="32" t="n">
        <x:v>12061</x:v>
      </x:c>
      <x:c r="M42" s="32" t="n">
        <x:v>1711</x:v>
      </x:c>
      <x:c r="N42" s="32" t="n">
        <x:v>331</x:v>
      </x:c>
      <x:c r="O42" s="32" t="n">
        <x:v>22501</x:v>
      </x:c>
      <x:c r="P42" s="32" t="n">
        <x:v>22541</x:v>
      </x:c>
      <x:c r="Q42" s="28" t="n">
        <x:f>C42/G42</x:f>
        <x:v>0.46640670696042114</x:v>
      </x:c>
      <x:c r="R42" s="28" t="n">
        <x:f>K42/O42</x:f>
        <x:v>0.37322785653970936</x:v>
      </x:c>
      <x:c r="S42" s="30" t="n">
        <x:f>(R42-Q42)*100</x:f>
        <x:v>-9.317885042071177</x:v>
      </x:c>
      <x:c r="T42" s="28" t="n">
        <x:f>D42/G42</x:f>
        <x:v>0.47018912068629365</x:v>
      </x:c>
      <x:c r="U42" s="28" t="n">
        <x:f>L42/O42</x:f>
        <x:v>0.5360206213057197</x:v>
      </x:c>
      <x:c r="V42" s="30" t="n">
        <x:f>(U42-T42)*100</x:f>
        <x:v>6.5831500619426055</x:v>
      </x:c>
      <x:c r="W42" s="28" t="n">
        <x:f>E42/G42</x:f>
        <x:v>0.06340417235328524</x:v>
      </x:c>
      <x:c r="X42" s="28" t="n">
        <x:f>M42/O42</x:f>
        <x:v>0.0760410648415626</x:v>
      </x:c>
      <x:c r="Y42" s="30" t="n">
        <x:f>(X42-W42)*100</x:f>
        <x:v>1.263689248827736</x:v>
      </x:c>
      <x:c r="Z42" s="32" t="n">
        <x:f>K42-C42</x:f>
        <x:v>-3563</x:v>
      </x:c>
      <x:c r="AA42" s="32" t="n">
        <x:f>P42-H42</x:f>
        <x:v>-3153</x:v>
      </x:c>
      <x:c r="AB42" s="28" t="n">
        <x:f>P42/H42-1</x:f>
        <x:v>-0.12271347396279286</x:v>
      </x:c>
      <x:c r="AC42" t="str">
        <x:f>IF(C42=MAX(C42:F42),"NDP",IF(D42=MAX(C42:F42),"Conservative",IF(E42=MAX(C42:F42),"Green","Other")))</x:f>
        <x:v>Conservative</x:v>
      </x:c>
      <x:c r="AD42" t="str">
        <x:f>IF(K42=MAX(K42:N42),"NDP",IF(L42=MAX(K42:N42),"Conservative",IF(M42=MAX(K42:N42),"Green","Other")))</x:f>
        <x:v>Conservative</x:v>
      </x:c>
      <x:c r="AE42" t="str">
        <x:f>IF(AC42=AD42,"No","Yes")</x:f>
        <x:v>No</x:v>
      </x:c>
      <x:c r="AF42" s="32" t="n">
        <x:f>LARGE(K42:N42,1)-LARGE(K42:N42,2)</x:f>
        <x:v>3663</x:v>
      </x:c>
      <x:c r="AG42" s="32" t="n">
        <x:f>P42-O42</x:f>
        <x:v>40</x:v>
      </x:c>
      <x:c r="AH42" t="str">
        <x:v>—</x:v>
      </x:c>
      <x:c r="AI42" t="str">
        <x:v>https://elections.bc.ca/docs/rpt/statement-of-votes-2024-provincial-election.pdf</x:v>
      </x:c>
      <x:c r="AJ42" t="str">
        <x:v>https://results.elections.bc.ca/</x:v>
      </x:c>
    </x:row>
    <x:row r="43" ht="19" customHeight="1">
      <x:c r="A43" t="str">
        <x:v>Maple Ridge-Pitt Meadows</x:v>
      </x:c>
      <x:c r="B43" t="str">
        <x:v>Fraser Valley / Ridge / Langley</x:v>
      </x:c>
      <x:c r="C43" s="32" t="n">
        <x:v>14480</x:v>
      </x:c>
      <x:c r="D43" s="32" t="n">
        <x:v>11901</x:v>
      </x:c>
      <x:c r="E43" s="32" t="n">
        <x:v>0</x:v>
      </x:c>
      <x:c r="F43" s="32" t="n">
        <x:v>0</x:v>
      </x:c>
      <x:c r="G43" s="32" t="n">
        <x:v>26381</x:v>
      </x:c>
      <x:c r="H43" s="32" t="n">
        <x:v>26475</x:v>
      </x:c>
      <x:c r="I43" s="32" t="n">
        <x:v>44850</x:v>
      </x:c>
      <x:c r="J43" s="28" t="n">
        <x:f>H43/I43</x:f>
        <x:v>0.5903010033444817</x:v>
      </x:c>
      <x:c r="K43" s="32" t="n">
        <x:v>9987</x:v>
      </x:c>
      <x:c r="L43" s="32" t="n">
        <x:v>10837</x:v>
      </x:c>
      <x:c r="M43" s="32" t="n">
        <x:v>0</x:v>
      </x:c>
      <x:c r="N43" s="32" t="n">
        <x:v>1595</x:v>
      </x:c>
      <x:c r="O43" s="32" t="n">
        <x:v>22419</x:v>
      </x:c>
      <x:c r="P43" s="32" t="n">
        <x:v>22464</x:v>
      </x:c>
      <x:c r="Q43" s="28" t="n">
        <x:f>C43/G43</x:f>
        <x:v>0.5488798756680945</x:v>
      </x:c>
      <x:c r="R43" s="28" t="n">
        <x:f>K43/O43</x:f>
        <x:v>0.44547035996253176</x:v>
      </x:c>
      <x:c r="S43" s="30" t="n">
        <x:f>(R43-Q43)*100</x:f>
        <x:v>-10.340951570556273</x:v>
      </x:c>
      <x:c r="T43" s="28" t="n">
        <x:f>D43/G43</x:f>
        <x:v>0.4511201243319055</x:v>
      </x:c>
      <x:c r="U43" s="28" t="n">
        <x:f>L43/O43</x:f>
        <x:v>0.4833846291092377</x:v>
      </x:c>
      <x:c r="V43" s="30" t="n">
        <x:f>(U43-T43)*100</x:f>
        <x:v>3.2264504777332172</x:v>
      </x:c>
      <x:c r="W43" s="28" t="n">
        <x:f>E43/G43</x:f>
        <x:v>0</x:v>
      </x:c>
      <x:c r="X43" s="28" t="n">
        <x:f>M43/O43</x:f>
        <x:v>0</x:v>
      </x:c>
      <x:c r="Y43" s="30" t="n">
        <x:f>(X43-W43)*100</x:f>
        <x:v>0</x:v>
      </x:c>
      <x:c r="Z43" s="32" t="n">
        <x:f>K43-C43</x:f>
        <x:v>-4493</x:v>
      </x:c>
      <x:c r="AA43" s="32" t="n">
        <x:f>P43-H43</x:f>
        <x:v>-4011</x:v>
      </x:c>
      <x:c r="AB43" s="28" t="n">
        <x:f>P43/H43-1</x:f>
        <x:v>-0.1515014164305949</x:v>
      </x:c>
      <x:c r="AC43" t="str">
        <x:f>IF(C43=MAX(C43:F43),"NDP",IF(D43=MAX(C43:F43),"Conservative",IF(E43=MAX(C43:F43),"Green","Other")))</x:f>
        <x:v>NDP</x:v>
      </x:c>
      <x:c r="AD43" t="str">
        <x:f>IF(K43=MAX(K43:N43),"NDP",IF(L43=MAX(K43:N43),"Conservative",IF(M43=MAX(K43:N43),"Green","Other")))</x:f>
        <x:v>Conservative</x:v>
      </x:c>
      <x:c r="AE43" t="str">
        <x:f>IF(AC43=AD43,"No","Yes")</x:f>
        <x:v>Yes</x:v>
      </x:c>
      <x:c r="AF43" s="32" t="n">
        <x:f>LARGE(K43:N43,1)-LARGE(K43:N43,2)</x:f>
        <x:v>850</x:v>
      </x:c>
      <x:c r="AG43" s="32" t="n">
        <x:f>P43-O43</x:f>
        <x:v>45</x:v>
      </x:c>
      <x:c r="AH43" t="str">
        <x:v>—</x:v>
      </x:c>
      <x:c r="AI43" t="str">
        <x:v>https://elections.bc.ca/docs/rpt/statement-of-votes-2024-provincial-election.pdf</x:v>
      </x:c>
      <x:c r="AJ43" t="str">
        <x:v>https://results.elections.bc.ca/</x:v>
      </x:c>
    </x:row>
    <x:row r="44" ht="19" customHeight="1">
      <x:c r="A44" t="str">
        <x:v>Mid Island-Pacific Rim</x:v>
      </x:c>
      <x:c r="B44" t="str">
        <x:v>Vancouver Island / Gulf Islands</x:v>
      </x:c>
      <x:c r="C44" s="32" t="n">
        <x:v>14042</x:v>
      </x:c>
      <x:c r="D44" s="32" t="n">
        <x:v>11366</x:v>
      </x:c>
      <x:c r="E44" s="32" t="n">
        <x:v>3402</x:v>
      </x:c>
      <x:c r="F44" s="32" t="n">
        <x:v>0</x:v>
      </x:c>
      <x:c r="G44" s="32" t="n">
        <x:v>28810</x:v>
      </x:c>
      <x:c r="H44" s="32" t="n">
        <x:v>28868</x:v>
      </x:c>
      <x:c r="I44" s="32" t="n">
        <x:v>47816</x:v>
      </x:c>
      <x:c r="J44" s="28" t="n">
        <x:f>H44/I44</x:f>
        <x:v>0.6037309687134014</x:v>
      </x:c>
      <x:c r="K44" s="32" t="n">
        <x:v>11916</x:v>
      </x:c>
      <x:c r="L44" s="32" t="n">
        <x:v>10301</x:v>
      </x:c>
      <x:c r="M44" s="32" t="n">
        <x:v>3203</x:v>
      </x:c>
      <x:c r="N44" s="32" t="n">
        <x:v>0</x:v>
      </x:c>
      <x:c r="O44" s="32" t="n">
        <x:v>25420</x:v>
      </x:c>
      <x:c r="P44" s="32" t="n">
        <x:v>25462</x:v>
      </x:c>
      <x:c r="Q44" s="28" t="n">
        <x:f>C44/G44</x:f>
        <x:v>0.4874002082610205</x:v>
      </x:c>
      <x:c r="R44" s="28" t="n">
        <x:f>K44/O44</x:f>
        <x:v>0.46876475216365066</x:v>
      </x:c>
      <x:c r="S44" s="30" t="n">
        <x:f>(R44-Q44)*100</x:f>
        <x:v>-1.863545609736983</x:v>
      </x:c>
      <x:c r="T44" s="28" t="n">
        <x:f>D44/G44</x:f>
        <x:v>0.3945157931273863</x:v>
      </x:c>
      <x:c r="U44" s="28" t="n">
        <x:f>L44/O44</x:f>
        <x:v>0.40523210070810384</x:v>
      </x:c>
      <x:c r="V44" s="30" t="n">
        <x:f>(U44-T44)*100</x:f>
        <x:v>1.071630758071751</x:v>
      </x:c>
      <x:c r="W44" s="28" t="n">
        <x:f>E44/G44</x:f>
        <x:v>0.1180839986115932</x:v>
      </x:c>
      <x:c r="X44" s="28" t="n">
        <x:f>M44/O44</x:f>
        <x:v>0.12600314712824548</x:v>
      </x:c>
      <x:c r="Y44" s="30" t="n">
        <x:f>(X44-W44)*100</x:f>
        <x:v>0.7919148516652277</x:v>
      </x:c>
      <x:c r="Z44" s="32" t="n">
        <x:f>K44-C44</x:f>
        <x:v>-2126</x:v>
      </x:c>
      <x:c r="AA44" s="32" t="n">
        <x:f>P44-H44</x:f>
        <x:v>-3406</x:v>
      </x:c>
      <x:c r="AB44" s="28" t="n">
        <x:f>P44/H44-1</x:f>
        <x:v>-0.11798531245669941</x:v>
      </x:c>
      <x:c r="AC44" t="str">
        <x:f>IF(C44=MAX(C44:F44),"NDP",IF(D44=MAX(C44:F44),"Conservative",IF(E44=MAX(C44:F44),"Green","Other")))</x:f>
        <x:v>NDP</x:v>
      </x:c>
      <x:c r="AD44" t="str">
        <x:f>IF(K44=MAX(K44:N44),"NDP",IF(L44=MAX(K44:N44),"Conservative",IF(M44=MAX(K44:N44),"Green","Other")))</x:f>
        <x:v>NDP</x:v>
      </x:c>
      <x:c r="AE44" t="str">
        <x:f>IF(AC44=AD44,"No","Yes")</x:f>
        <x:v>No</x:v>
      </x:c>
      <x:c r="AF44" s="32" t="n">
        <x:f>LARGE(K44:N44,1)-LARGE(K44:N44,2)</x:f>
        <x:v>1615</x:v>
      </x:c>
      <x:c r="AG44" s="32" t="n">
        <x:f>P44-O44</x:f>
        <x:v>42</x:v>
      </x:c>
      <x:c r="AH44" t="str">
        <x:v>—</x:v>
      </x:c>
      <x:c r="AI44" t="str">
        <x:v>https://elections.bc.ca/docs/rpt/statement-of-votes-2024-provincial-election.pdf</x:v>
      </x:c>
      <x:c r="AJ44" t="str">
        <x:v>https://results.elections.bc.ca/</x:v>
      </x:c>
    </x:row>
    <x:row r="45" ht="19" customHeight="1">
      <x:c r="A45" t="str">
        <x:v>Nanaimo-Gabriola Island</x:v>
      </x:c>
      <x:c r="B45" t="str">
        <x:v>Vancouver Island / Gulf Islands</x:v>
      </x:c>
      <x:c r="C45" s="32" t="n">
        <x:v>14663</x:v>
      </x:c>
      <x:c r="D45" s="32" t="n">
        <x:v>9633</x:v>
      </x:c>
      <x:c r="E45" s="32" t="n">
        <x:v>3502</x:v>
      </x:c>
      <x:c r="F45" s="32" t="n">
        <x:v>0</x:v>
      </x:c>
      <x:c r="G45" s="32" t="n">
        <x:v>27798</x:v>
      </x:c>
      <x:c r="H45" s="32" t="n">
        <x:v>27855</x:v>
      </x:c>
      <x:c r="I45" s="32" t="n">
        <x:v>46454</x:v>
      </x:c>
      <x:c r="J45" s="28" t="n">
        <x:f>H45/I45</x:f>
        <x:v>0.5996254359150988</x:v>
      </x:c>
      <x:c r="K45" s="32" t="n">
        <x:v>11079</x:v>
      </x:c>
      <x:c r="L45" s="32" t="n">
        <x:v>8262</x:v>
      </x:c>
      <x:c r="M45" s="32" t="n">
        <x:v>3692</x:v>
      </x:c>
      <x:c r="N45" s="32" t="n">
        <x:v>0</x:v>
      </x:c>
      <x:c r="O45" s="32" t="n">
        <x:v>23033</x:v>
      </x:c>
      <x:c r="P45" s="32" t="n">
        <x:v>23077</x:v>
      </x:c>
      <x:c r="Q45" s="28" t="n">
        <x:f>C45/G45</x:f>
        <x:v>0.5274839916540758</x:v>
      </x:c>
      <x:c r="R45" s="28" t="n">
        <x:f>K45/O45</x:f>
        <x:v>0.48100551382798595</x:v>
      </x:c>
      <x:c r="S45" s="30" t="n">
        <x:f>(R45-Q45)*100</x:f>
        <x:v>-4.647847782608983</x:v>
      </x:c>
      <x:c r="T45" s="28" t="n">
        <x:f>D45/G45</x:f>
        <x:v>0.3465357219943881</x:v>
      </x:c>
      <x:c r="U45" s="28" t="n">
        <x:f>L45/O45</x:f>
        <x:v>0.35870273086441196</x:v>
      </x:c>
      <x:c r="V45" s="30" t="n">
        <x:f>(U45-T45)*100</x:f>
        <x:v>1.2167008870023865</x:v>
      </x:c>
      <x:c r="W45" s="28" t="n">
        <x:f>E45/G45</x:f>
        <x:v>0.12598028635153607</x:v>
      </x:c>
      <x:c r="X45" s="28" t="n">
        <x:f>M45/O45</x:f>
        <x:v>0.16029175530760215</x:v>
      </x:c>
      <x:c r="Y45" s="30" t="n">
        <x:f>(X45-W45)*100</x:f>
        <x:v>3.431146895606607</x:v>
      </x:c>
      <x:c r="Z45" s="32" t="n">
        <x:f>K45-C45</x:f>
        <x:v>-3584</x:v>
      </x:c>
      <x:c r="AA45" s="32" t="n">
        <x:f>P45-H45</x:f>
        <x:v>-4778</x:v>
      </x:c>
      <x:c r="AB45" s="28" t="n">
        <x:f>P45/H45-1</x:f>
        <x:v>-0.17153114342128883</x:v>
      </x:c>
      <x:c r="AC45" t="str">
        <x:f>IF(C45=MAX(C45:F45),"NDP",IF(D45=MAX(C45:F45),"Conservative",IF(E45=MAX(C45:F45),"Green","Other")))</x:f>
        <x:v>NDP</x:v>
      </x:c>
      <x:c r="AD45" t="str">
        <x:f>IF(K45=MAX(K45:N45),"NDP",IF(L45=MAX(K45:N45),"Conservative",IF(M45=MAX(K45:N45),"Green","Other")))</x:f>
        <x:v>NDP</x:v>
      </x:c>
      <x:c r="AE45" t="str">
        <x:f>IF(AC45=AD45,"No","Yes")</x:f>
        <x:v>No</x:v>
      </x:c>
      <x:c r="AF45" s="32" t="n">
        <x:f>LARGE(K45:N45,1)-LARGE(K45:N45,2)</x:f>
        <x:v>2817</x:v>
      </x:c>
      <x:c r="AG45" s="32" t="n">
        <x:f>P45-O45</x:f>
        <x:v>44</x:v>
      </x:c>
      <x:c r="AH45" t="str">
        <x:v>—</x:v>
      </x:c>
      <x:c r="AI45" t="str">
        <x:v>https://elections.bc.ca/docs/rpt/statement-of-votes-2024-provincial-election.pdf</x:v>
      </x:c>
      <x:c r="AJ45" t="str">
        <x:v>https://results.elections.bc.ca/</x:v>
      </x:c>
    </x:row>
    <x:row r="46" ht="19" customHeight="1">
      <x:c r="A46" t="str">
        <x:v>Nanaimo-Lantzville</x:v>
      </x:c>
      <x:c r="B46" t="str">
        <x:v>Vancouver Island / Gulf Islands</x:v>
      </x:c>
      <x:c r="C46" s="32" t="n">
        <x:v>15307</x:v>
      </x:c>
      <x:c r="D46" s="32" t="n">
        <x:v>11687</x:v>
      </x:c>
      <x:c r="E46" s="32" t="n">
        <x:v>2586</x:v>
      </x:c>
      <x:c r="F46" s="32" t="n">
        <x:v>0</x:v>
      </x:c>
      <x:c r="G46" s="32" t="n">
        <x:v>29580</x:v>
      </x:c>
      <x:c r="H46" s="32" t="n">
        <x:v>29620</x:v>
      </x:c>
      <x:c r="I46" s="32" t="n">
        <x:v>44879</x:v>
      </x:c>
      <x:c r="J46" s="28" t="n">
        <x:f>H46/I46</x:f>
        <x:v>0.6599968805009024</x:v>
      </x:c>
      <x:c r="K46" s="32" t="n">
        <x:v>11567</x:v>
      </x:c>
      <x:c r="L46" s="32" t="n">
        <x:v>10701</x:v>
      </x:c>
      <x:c r="M46" s="32" t="n">
        <x:v>2448</x:v>
      </x:c>
      <x:c r="N46" s="32" t="n">
        <x:v>76</x:v>
      </x:c>
      <x:c r="O46" s="32" t="n">
        <x:v>24792</x:v>
      </x:c>
      <x:c r="P46" s="32" t="n">
        <x:v>24830</x:v>
      </x:c>
      <x:c r="Q46" s="28" t="n">
        <x:f>C46/G46</x:f>
        <x:v>0.5174780256930358</x:v>
      </x:c>
      <x:c r="R46" s="28" t="n">
        <x:f>K46/O46</x:f>
        <x:v>0.4665617941271378</x:v>
      </x:c>
      <x:c r="S46" s="30" t="n">
        <x:f>(R46-Q46)*100</x:f>
        <x:v>-5.091623156589803</x:v>
      </x:c>
      <x:c r="T46" s="28" t="n">
        <x:f>D46/G46</x:f>
        <x:v>0.39509803921568626</x:v>
      </x:c>
      <x:c r="U46" s="28" t="n">
        <x:f>L46/O46</x:f>
        <x:v>0.43163117134559537</x:v>
      </x:c>
      <x:c r="V46" s="30" t="n">
        <x:f>(U46-T46)*100</x:f>
        <x:v>3.653313212990911</x:v>
      </x:c>
      <x:c r="W46" s="28" t="n">
        <x:f>E46/G46</x:f>
        <x:v>0.0874239350912779</x:v>
      </x:c>
      <x:c r="X46" s="28" t="n">
        <x:f>M46/O46</x:f>
        <x:v>0.09874152952565343</x:v>
      </x:c>
      <x:c r="Y46" s="30" t="n">
        <x:f>(X46-W46)*100</x:f>
        <x:v>1.1317594434375535</x:v>
      </x:c>
      <x:c r="Z46" s="32" t="n">
        <x:f>K46-C46</x:f>
        <x:v>-3740</x:v>
      </x:c>
      <x:c r="AA46" s="32" t="n">
        <x:f>P46-H46</x:f>
        <x:v>-4790</x:v>
      </x:c>
      <x:c r="AB46" s="28" t="n">
        <x:f>P46/H46-1</x:f>
        <x:v>-0.16171505739365288</x:v>
      </x:c>
      <x:c r="AC46" t="str">
        <x:f>IF(C46=MAX(C46:F46),"NDP",IF(D46=MAX(C46:F46),"Conservative",IF(E46=MAX(C46:F46),"Green","Other")))</x:f>
        <x:v>NDP</x:v>
      </x:c>
      <x:c r="AD46" t="str">
        <x:f>IF(K46=MAX(K46:N46),"NDP",IF(L46=MAX(K46:N46),"Conservative",IF(M46=MAX(K46:N46),"Green","Other")))</x:f>
        <x:v>NDP</x:v>
      </x:c>
      <x:c r="AE46" t="str">
        <x:f>IF(AC46=AD46,"No","Yes")</x:f>
        <x:v>No</x:v>
      </x:c>
      <x:c r="AF46" s="32" t="n">
        <x:f>LARGE(K46:N46,1)-LARGE(K46:N46,2)</x:f>
        <x:v>866</x:v>
      </x:c>
      <x:c r="AG46" s="32" t="n">
        <x:f>P46-O46</x:f>
        <x:v>38</x:v>
      </x:c>
      <x:c r="AH46" t="str">
        <x:v>—</x:v>
      </x:c>
      <x:c r="AI46" t="str">
        <x:v>https://elections.bc.ca/docs/rpt/statement-of-votes-2024-provincial-election.pdf</x:v>
      </x:c>
      <x:c r="AJ46" t="str">
        <x:v>https://results.elections.bc.ca/</x:v>
      </x:c>
    </x:row>
    <x:row r="47" ht="19" customHeight="1">
      <x:c r="A47" t="str">
        <x:v>Nechako Lakes</x:v>
      </x:c>
      <x:c r="B47" t="str">
        <x:v>North / Central Interior / Coast</x:v>
      </x:c>
      <x:c r="C47" s="32" t="n">
        <x:v>3167</x:v>
      </x:c>
      <x:c r="D47" s="32" t="n">
        <x:v>7851</x:v>
      </x:c>
      <x:c r="E47" s="32" t="n">
        <x:v>622</x:v>
      </x:c>
      <x:c r="F47" s="32" t="n">
        <x:v>0</x:v>
      </x:c>
      <x:c r="G47" s="32" t="n">
        <x:v>11640</x:v>
      </x:c>
      <x:c r="H47" s="32" t="n">
        <x:v>11665</x:v>
      </x:c>
      <x:c r="I47" s="32" t="n">
        <x:v>18407</x:v>
      </x:c>
      <x:c r="J47" s="28" t="n">
        <x:f>H47/I47</x:f>
        <x:v>0.6337262997772587</x:v>
      </x:c>
      <x:c r="K47" s="32" t="n">
        <x:v>2150</x:v>
      </x:c>
      <x:c r="L47" s="32" t="n">
        <x:v>5954</x:v>
      </x:c>
      <x:c r="M47" s="32" t="n">
        <x:v>0</x:v>
      </x:c>
      <x:c r="N47" s="32" t="n">
        <x:v>1219</x:v>
      </x:c>
      <x:c r="O47" s="32" t="n">
        <x:v>9323</x:v>
      </x:c>
      <x:c r="P47" s="32" t="n">
        <x:v>9337</x:v>
      </x:c>
      <x:c r="Q47" s="28" t="n">
        <x:f>C47/G47</x:f>
        <x:v>0.27207903780068726</x:v>
      </x:c>
      <x:c r="R47" s="28" t="n">
        <x:f>K47/O47</x:f>
        <x:v>0.23061246379920627</x:v>
      </x:c>
      <x:c r="S47" s="30" t="n">
        <x:f>(R47-Q47)*100</x:f>
        <x:v>-4.146657400148099</x:v>
      </x:c>
      <x:c r="T47" s="28" t="n">
        <x:f>D47/G47</x:f>
        <x:v>0.6744845360824743</x:v>
      </x:c>
      <x:c r="U47" s="28" t="n">
        <x:f>L47/O47</x:f>
        <x:v>0.6386356323071972</x:v>
      </x:c>
      <x:c r="V47" s="30" t="n">
        <x:f>(U47-T47)*100</x:f>
        <x:v>-3.5848903775277052</x:v>
      </x:c>
      <x:c r="W47" s="28" t="n">
        <x:f>E47/G47</x:f>
        <x:v>0.053436426116838485</x:v>
      </x:c>
      <x:c r="X47" s="28" t="n">
        <x:f>M47/O47</x:f>
        <x:v>0</x:v>
      </x:c>
      <x:c r="Y47" s="30" t="n">
        <x:f>(X47-W47)*100</x:f>
        <x:v>-5.3436426116838485</x:v>
      </x:c>
      <x:c r="Z47" s="32" t="n">
        <x:f>K47-C47</x:f>
        <x:v>-1017</x:v>
      </x:c>
      <x:c r="AA47" s="32" t="n">
        <x:f>P47-H47</x:f>
        <x:v>-2328</x:v>
      </x:c>
      <x:c r="AB47" s="28" t="n">
        <x:f>P47/H47-1</x:f>
        <x:v>-0.19957136733819114</x:v>
      </x:c>
      <x:c r="AC47" t="str">
        <x:f>IF(C47=MAX(C47:F47),"NDP",IF(D47=MAX(C47:F47),"Conservative",IF(E47=MAX(C47:F47),"Green","Other")))</x:f>
        <x:v>Conservative</x:v>
      </x:c>
      <x:c r="AD47" t="str">
        <x:f>IF(K47=MAX(K47:N47),"NDP",IF(L47=MAX(K47:N47),"Conservative",IF(M47=MAX(K47:N47),"Green","Other")))</x:f>
        <x:v>Conservative</x:v>
      </x:c>
      <x:c r="AE47" t="str">
        <x:f>IF(AC47=AD47,"No","Yes")</x:f>
        <x:v>No</x:v>
      </x:c>
      <x:c r="AF47" s="32" t="n">
        <x:f>LARGE(K47:N47,1)-LARGE(K47:N47,2)</x:f>
        <x:v>3804</x:v>
      </x:c>
      <x:c r="AG47" s="32" t="n">
        <x:f>P47-O47</x:f>
        <x:v>14</x:v>
      </x:c>
      <x:c r="AH47" t="str">
        <x:v>Green absent 2026</x:v>
      </x:c>
      <x:c r="AI47" t="str">
        <x:v>https://elections.bc.ca/docs/rpt/statement-of-votes-2024-provincial-election.pdf</x:v>
      </x:c>
      <x:c r="AJ47" t="str">
        <x:v>https://results.elections.bc.ca/</x:v>
      </x:c>
    </x:row>
    <x:row r="48" ht="19" customHeight="1">
      <x:c r="A48" t="str">
        <x:v>New Westminster-Coquitlam</x:v>
      </x:c>
      <x:c r="B48" t="str">
        <x:v>Burnaby / Tri-Cities / New West</x:v>
      </x:c>
      <x:c r="C48" s="32" t="n">
        <x:v>12757</x:v>
      </x:c>
      <x:c r="D48" s="32" t="n">
        <x:v>6438</x:v>
      </x:c>
      <x:c r="E48" s="32" t="n">
        <x:v>2380</x:v>
      </x:c>
      <x:c r="F48" s="32" t="n">
        <x:v>0</x:v>
      </x:c>
      <x:c r="G48" s="32" t="n">
        <x:v>21575</x:v>
      </x:c>
      <x:c r="H48" s="32" t="n">
        <x:v>21631</x:v>
      </x:c>
      <x:c r="I48" s="32" t="n">
        <x:v>40020</x:v>
      </x:c>
      <x:c r="J48" s="28" t="n">
        <x:f>H48/I48</x:f>
        <x:v>0.5405047476261869</x:v>
      </x:c>
      <x:c r="K48" s="32" t="n">
        <x:v>9289</x:v>
      </x:c>
      <x:c r="L48" s="32" t="n">
        <x:v>6315</x:v>
      </x:c>
      <x:c r="M48" s="32" t="n">
        <x:v>2838</x:v>
      </x:c>
      <x:c r="N48" s="32" t="n">
        <x:v>0</x:v>
      </x:c>
      <x:c r="O48" s="32" t="n">
        <x:v>18442</x:v>
      </x:c>
      <x:c r="P48" s="32" t="n">
        <x:v>18536</x:v>
      </x:c>
      <x:c r="Q48" s="28" t="n">
        <x:f>C48/G48</x:f>
        <x:v>0.5912862108922364</x:v>
      </x:c>
      <x:c r="R48" s="28" t="n">
        <x:f>K48/O48</x:f>
        <x:v>0.5036872356577378</x:v>
      </x:c>
      <x:c r="S48" s="30" t="n">
        <x:f>(R48-Q48)*100</x:f>
        <x:v>-8.759897523449867</x:v>
      </x:c>
      <x:c r="T48" s="28" t="n">
        <x:f>D48/G48</x:f>
        <x:v>0.29840092699884124</x:v>
      </x:c>
      <x:c r="U48" s="28" t="n">
        <x:f>L48/O48</x:f>
        <x:v>0.3424248996855005</x:v>
      </x:c>
      <x:c r="V48" s="30" t="n">
        <x:f>(U48-T48)*100</x:f>
        <x:v>4.402397268665926</x:v>
      </x:c>
      <x:c r="W48" s="28" t="n">
        <x:f>E48/G48</x:f>
        <x:v>0.11031286210892237</x:v>
      </x:c>
      <x:c r="X48" s="28" t="n">
        <x:f>M48/O48</x:f>
        <x:v>0.15388786465676174</x:v>
      </x:c>
      <x:c r="Y48" s="30" t="n">
        <x:f>(X48-W48)*100</x:f>
        <x:v>4.357500254783937</x:v>
      </x:c>
      <x:c r="Z48" s="32" t="n">
        <x:f>K48-C48</x:f>
        <x:v>-3468</x:v>
      </x:c>
      <x:c r="AA48" s="32" t="n">
        <x:f>P48-H48</x:f>
        <x:v>-3095</x:v>
      </x:c>
      <x:c r="AB48" s="28" t="n">
        <x:f>P48/H48-1</x:f>
        <x:v>-0.1430816883176922</x:v>
      </x:c>
      <x:c r="AC48" t="str">
        <x:f>IF(C48=MAX(C48:F48),"NDP",IF(D48=MAX(C48:F48),"Conservative",IF(E48=MAX(C48:F48),"Green","Other")))</x:f>
        <x:v>NDP</x:v>
      </x:c>
      <x:c r="AD48" t="str">
        <x:f>IF(K48=MAX(K48:N48),"NDP",IF(L48=MAX(K48:N48),"Conservative",IF(M48=MAX(K48:N48),"Green","Other")))</x:f>
        <x:v>NDP</x:v>
      </x:c>
      <x:c r="AE48" t="str">
        <x:f>IF(AC48=AD48,"No","Yes")</x:f>
        <x:v>No</x:v>
      </x:c>
      <x:c r="AF48" s="32" t="n">
        <x:f>LARGE(K48:N48,1)-LARGE(K48:N48,2)</x:f>
        <x:v>2974</x:v>
      </x:c>
      <x:c r="AG48" s="32" t="n">
        <x:f>P48-O48</x:f>
        <x:v>94</x:v>
      </x:c>
      <x:c r="AH48" t="str">
        <x:v>—</x:v>
      </x:c>
      <x:c r="AI48" t="str">
        <x:v>https://elections.bc.ca/docs/rpt/statement-of-votes-2024-provincial-election.pdf</x:v>
      </x:c>
      <x:c r="AJ48" t="str">
        <x:v>https://results.elections.bc.ca/</x:v>
      </x:c>
    </x:row>
    <x:row r="49" ht="19" customHeight="1">
      <x:c r="A49" t="str">
        <x:v>North Coast-Haida Gwaii</x:v>
      </x:c>
      <x:c r="B49" t="str">
        <x:v>North / Central Interior / Coast</x:v>
      </x:c>
      <x:c r="C49" s="32" t="n">
        <x:v>4863</x:v>
      </x:c>
      <x:c r="D49" s="32" t="n">
        <x:v>2628</x:v>
      </x:c>
      <x:c r="E49" s="32" t="n">
        <x:v>0</x:v>
      </x:c>
      <x:c r="F49" s="32" t="n">
        <x:v>0</x:v>
      </x:c>
      <x:c r="G49" s="32" t="n">
        <x:v>7491</x:v>
      </x:c>
      <x:c r="H49" s="32" t="n">
        <x:v>7542</x:v>
      </x:c>
      <x:c r="I49" s="32" t="n">
        <x:v>15518</x:v>
      </x:c>
      <x:c r="J49" s="28" t="n">
        <x:f>H49/I49</x:f>
        <x:v>0.4860162392060833</x:v>
      </x:c>
      <x:c r="K49" s="32" t="n">
        <x:v>4051</x:v>
      </x:c>
      <x:c r="L49" s="32" t="n">
        <x:v>1901</x:v>
      </x:c>
      <x:c r="M49" s="32" t="n">
        <x:v>641</x:v>
      </x:c>
      <x:c r="N49" s="32" t="n">
        <x:v>0</x:v>
      </x:c>
      <x:c r="O49" s="32" t="n">
        <x:v>6593</x:v>
      </x:c>
      <x:c r="P49" s="32" t="n">
        <x:v>6621</x:v>
      </x:c>
      <x:c r="Q49" s="28" t="n">
        <x:f>C49/G49</x:f>
        <x:v>0.6491790148177813</x:v>
      </x:c>
      <x:c r="R49" s="28" t="n">
        <x:f>K49/O49</x:f>
        <x:v>0.6144395571060215</x:v>
      </x:c>
      <x:c r="S49" s="30" t="n">
        <x:f>(R49-Q49)*100</x:f>
        <x:v>-3.473945771175979</x:v>
      </x:c>
      <x:c r="T49" s="28" t="n">
        <x:f>D49/G49</x:f>
        <x:v>0.35082098518221866</x:v>
      </x:c>
      <x:c r="U49" s="28" t="n">
        <x:f>L49/O49</x:f>
        <x:v>0.2883361140603671</x:v>
      </x:c>
      <x:c r="V49" s="30" t="n">
        <x:f>(U49-T49)*100</x:f>
        <x:v>-6.248487112185158</x:v>
      </x:c>
      <x:c r="W49" s="28" t="n">
        <x:f>E49/G49</x:f>
        <x:v>0</x:v>
      </x:c>
      <x:c r="X49" s="28" t="n">
        <x:f>M49/O49</x:f>
        <x:v>0.0972243288336114</x:v>
      </x:c>
      <x:c r="Y49" s="30" t="n">
        <x:f>(X49-W49)*100</x:f>
        <x:v>9.72243288336114</x:v>
      </x:c>
      <x:c r="Z49" s="32" t="n">
        <x:f>K49-C49</x:f>
        <x:v>-812</x:v>
      </x:c>
      <x:c r="AA49" s="32" t="n">
        <x:f>P49-H49</x:f>
        <x:v>-921</x:v>
      </x:c>
      <x:c r="AB49" s="28" t="n">
        <x:f>P49/H49-1</x:f>
        <x:v>-0.12211614956245032</x:v>
      </x:c>
      <x:c r="AC49" t="str">
        <x:f>IF(C49=MAX(C49:F49),"NDP",IF(D49=MAX(C49:F49),"Conservative",IF(E49=MAX(C49:F49),"Green","Other")))</x:f>
        <x:v>NDP</x:v>
      </x:c>
      <x:c r="AD49" t="str">
        <x:f>IF(K49=MAX(K49:N49),"NDP",IF(L49=MAX(K49:N49),"Conservative",IF(M49=MAX(K49:N49),"Green","Other")))</x:f>
        <x:v>NDP</x:v>
      </x:c>
      <x:c r="AE49" t="str">
        <x:f>IF(AC49=AD49,"No","Yes")</x:f>
        <x:v>No</x:v>
      </x:c>
      <x:c r="AF49" s="32" t="n">
        <x:f>LARGE(K49:N49,1)-LARGE(K49:N49,2)</x:f>
        <x:v>2150</x:v>
      </x:c>
      <x:c r="AG49" s="32" t="n">
        <x:f>P49-O49</x:f>
        <x:v>28</x:v>
      </x:c>
      <x:c r="AH49" t="str">
        <x:v>Green absent 2024</x:v>
      </x:c>
      <x:c r="AI49" t="str">
        <x:v>https://elections.bc.ca/docs/rpt/statement-of-votes-2024-provincial-election.pdf</x:v>
      </x:c>
      <x:c r="AJ49" t="str">
        <x:v>https://results.elections.bc.ca/</x:v>
      </x:c>
    </x:row>
    <x:row r="50" ht="19" customHeight="1">
      <x:c r="A50" t="str">
        <x:v>North Island</x:v>
      </x:c>
      <x:c r="B50" t="str">
        <x:v>Vancouver Island / Gulf Islands</x:v>
      </x:c>
      <x:c r="C50" s="32" t="n">
        <x:v>13461</x:v>
      </x:c>
      <x:c r="D50" s="32" t="n">
        <x:v>14100</x:v>
      </x:c>
      <x:c r="E50" s="32" t="n">
        <x:v>2397</x:v>
      </x:c>
      <x:c r="F50" s="32" t="n">
        <x:v>0</x:v>
      </x:c>
      <x:c r="G50" s="32" t="n">
        <x:v>29958</x:v>
      </x:c>
      <x:c r="H50" s="32" t="n">
        <x:v>29989</x:v>
      </x:c>
      <x:c r="I50" s="32" t="n">
        <x:v>48249</x:v>
      </x:c>
      <x:c r="J50" s="28" t="n">
        <x:f>H50/I50</x:f>
        <x:v>0.6215465605504777</x:v>
      </x:c>
      <x:c r="K50" s="32" t="n">
        <x:v>10695</x:v>
      </x:c>
      <x:c r="L50" s="32" t="n">
        <x:v>12071</x:v>
      </x:c>
      <x:c r="M50" s="32" t="n">
        <x:v>2076</x:v>
      </x:c>
      <x:c r="N50" s="32" t="n">
        <x:v>413</x:v>
      </x:c>
      <x:c r="O50" s="32" t="n">
        <x:v>25255</x:v>
      </x:c>
      <x:c r="P50" s="32" t="n">
        <x:v>25279</x:v>
      </x:c>
      <x:c r="Q50" s="28" t="n">
        <x:f>C50/G50</x:f>
        <x:v>0.4493290606849589</x:v>
      </x:c>
      <x:c r="R50" s="28" t="n">
        <x:f>K50/O50</x:f>
        <x:v>0.42348049891110673</x:v>
      </x:c>
      <x:c r="S50" s="30" t="n">
        <x:f>(R50-Q50)*100</x:f>
        <x:v>-2.5848561773852197</x:v>
      </x:c>
      <x:c r="T50" s="28" t="n">
        <x:f>D50/G50</x:f>
        <x:v>0.4706589224914881</x:v>
      </x:c>
      <x:c r="U50" s="28" t="n">
        <x:f>L50/O50</x:f>
        <x:v>0.47796475945357353</x:v>
      </x:c>
      <x:c r="V50" s="30" t="n">
        <x:f>(U50-T50)*100</x:f>
        <x:v>0.7305836962085421</x:v>
      </x:c>
      <x:c r="W50" s="28" t="n">
        <x:f>E50/G50</x:f>
        <x:v>0.08001201682355298</x:v>
      </x:c>
      <x:c r="X50" s="28" t="n">
        <x:f>M50/O50</x:f>
        <x:v>0.08220154424866363</x:v>
      </x:c>
      <x:c r="Y50" s="30" t="n">
        <x:f>(X50-W50)*100</x:f>
        <x:v>0.21895274251106517</x:v>
      </x:c>
      <x:c r="Z50" s="32" t="n">
        <x:f>K50-C50</x:f>
        <x:v>-2766</x:v>
      </x:c>
      <x:c r="AA50" s="32" t="n">
        <x:f>P50-H50</x:f>
        <x:v>-4710</x:v>
      </x:c>
      <x:c r="AB50" s="28" t="n">
        <x:f>P50/H50-1</x:f>
        <x:v>-0.1570575877821868</x:v>
      </x:c>
      <x:c r="AC50" t="str">
        <x:f>IF(C50=MAX(C50:F50),"NDP",IF(D50=MAX(C50:F50),"Conservative",IF(E50=MAX(C50:F50),"Green","Other")))</x:f>
        <x:v>Conservative</x:v>
      </x:c>
      <x:c r="AD50" t="str">
        <x:f>IF(K50=MAX(K50:N50),"NDP",IF(L50=MAX(K50:N50),"Conservative",IF(M50=MAX(K50:N50),"Green","Other")))</x:f>
        <x:v>Conservative</x:v>
      </x:c>
      <x:c r="AE50" t="str">
        <x:f>IF(AC50=AD50,"No","Yes")</x:f>
        <x:v>No</x:v>
      </x:c>
      <x:c r="AF50" s="32" t="n">
        <x:f>LARGE(K50:N50,1)-LARGE(K50:N50,2)</x:f>
        <x:v>1376</x:v>
      </x:c>
      <x:c r="AG50" s="32" t="n">
        <x:f>P50-O50</x:f>
        <x:v>24</x:v>
      </x:c>
      <x:c r="AH50" t="str">
        <x:v>—</x:v>
      </x:c>
      <x:c r="AI50" t="str">
        <x:v>https://elections.bc.ca/docs/rpt/statement-of-votes-2024-provincial-election.pdf</x:v>
      </x:c>
      <x:c r="AJ50" t="str">
        <x:v>https://results.elections.bc.ca/</x:v>
      </x:c>
    </x:row>
    <x:row r="51" ht="19" customHeight="1">
      <x:c r="A51" t="str">
        <x:v>North Vancouver-Lonsdale</x:v>
      </x:c>
      <x:c r="B51" t="str">
        <x:v>North Shore / Sea-to-Sky</x:v>
      </x:c>
      <x:c r="C51" s="32" t="n">
        <x:v>16759</x:v>
      </x:c>
      <x:c r="D51" s="32" t="n">
        <x:v>9073</x:v>
      </x:c>
      <x:c r="E51" s="32" t="n">
        <x:v>0</x:v>
      </x:c>
      <x:c r="F51" s="32" t="n">
        <x:v>0</x:v>
      </x:c>
      <x:c r="G51" s="32" t="n">
        <x:v>25832</x:v>
      </x:c>
      <x:c r="H51" s="32" t="n">
        <x:v>25939</x:v>
      </x:c>
      <x:c r="I51" s="32" t="n">
        <x:v>44034</x:v>
      </x:c>
      <x:c r="J51" s="28" t="n">
        <x:f>H51/I51</x:f>
        <x:v>0.5890675387200799</x:v>
      </x:c>
      <x:c r="K51" s="32" t="n">
        <x:v>10314</x:v>
      </x:c>
      <x:c r="L51" s="32" t="n">
        <x:v>9121</x:v>
      </x:c>
      <x:c r="M51" s="32" t="n">
        <x:v>2502</x:v>
      </x:c>
      <x:c r="N51" s="32" t="n">
        <x:v>0</x:v>
      </x:c>
      <x:c r="O51" s="32" t="n">
        <x:v>21937</x:v>
      </x:c>
      <x:c r="P51" s="32" t="n">
        <x:v>21979</x:v>
      </x:c>
      <x:c r="Q51" s="28" t="n">
        <x:f>C51/G51</x:f>
        <x:v>0.6487689687209662</x:v>
      </x:c>
      <x:c r="R51" s="28" t="n">
        <x:f>K51/O51</x:f>
        <x:v>0.4701645621552628</x:v>
      </x:c>
      <x:c r="S51" s="30" t="n">
        <x:f>(R51-Q51)*100</x:f>
        <x:v>-17.860440656570344</x:v>
      </x:c>
      <x:c r="T51" s="28" t="n">
        <x:f>D51/G51</x:f>
        <x:v>0.35123103127903377</x:v>
      </x:c>
      <x:c r="U51" s="28" t="n">
        <x:f>L51/O51</x:f>
        <x:v>0.4157815562747869</x:v>
      </x:c>
      <x:c r="V51" s="30" t="n">
        <x:f>(U51-T51)*100</x:f>
        <x:v>6.455052499575315</x:v>
      </x:c>
      <x:c r="W51" s="28" t="n">
        <x:f>E51/G51</x:f>
        <x:v>0</x:v>
      </x:c>
      <x:c r="X51" s="28" t="n">
        <x:f>M51/O51</x:f>
        <x:v>0.11405388156995032</x:v>
      </x:c>
      <x:c r="Y51" s="30" t="n">
        <x:f>(X51-W51)*100</x:f>
        <x:v>11.405388156995032</x:v>
      </x:c>
      <x:c r="Z51" s="32" t="n">
        <x:f>K51-C51</x:f>
        <x:v>-6445</x:v>
      </x:c>
      <x:c r="AA51" s="32" t="n">
        <x:f>P51-H51</x:f>
        <x:v>-3960</x:v>
      </x:c>
      <x:c r="AB51" s="28" t="n">
        <x:f>P51/H51-1</x:f>
        <x:v>-0.1526658699255946</x:v>
      </x:c>
      <x:c r="AC51" t="str">
        <x:f>IF(C51=MAX(C51:F51),"NDP",IF(D51=MAX(C51:F51),"Conservative",IF(E51=MAX(C51:F51),"Green","Other")))</x:f>
        <x:v>NDP</x:v>
      </x:c>
      <x:c r="AD51" t="str">
        <x:f>IF(K51=MAX(K51:N51),"NDP",IF(L51=MAX(K51:N51),"Conservative",IF(M51=MAX(K51:N51),"Green","Other")))</x:f>
        <x:v>NDP</x:v>
      </x:c>
      <x:c r="AE51" t="str">
        <x:f>IF(AC51=AD51,"No","Yes")</x:f>
        <x:v>No</x:v>
      </x:c>
      <x:c r="AF51" s="32" t="n">
        <x:f>LARGE(K51:N51,1)-LARGE(K51:N51,2)</x:f>
        <x:v>1193</x:v>
      </x:c>
      <x:c r="AG51" s="32" t="n">
        <x:f>P51-O51</x:f>
        <x:v>42</x:v>
      </x:c>
      <x:c r="AH51" t="str">
        <x:v>Green absent 2024</x:v>
      </x:c>
      <x:c r="AI51" t="str">
        <x:v>https://elections.bc.ca/docs/rpt/statement-of-votes-2024-provincial-election.pdf</x:v>
      </x:c>
      <x:c r="AJ51" t="str">
        <x:v>https://results.elections.bc.ca/</x:v>
      </x:c>
    </x:row>
    <x:row r="52" ht="19" customHeight="1">
      <x:c r="A52" t="str">
        <x:v>North Vancouver-Seymour</x:v>
      </x:c>
      <x:c r="B52" t="str">
        <x:v>North Shore / Sea-to-Sky</x:v>
      </x:c>
      <x:c r="C52" s="32" t="n">
        <x:v>16210</x:v>
      </x:c>
      <x:c r="D52" s="32" t="n">
        <x:v>10995</x:v>
      </x:c>
      <x:c r="E52" s="32" t="n">
        <x:v>1722</x:v>
      </x:c>
      <x:c r="F52" s="32" t="n">
        <x:v>1794</x:v>
      </x:c>
      <x:c r="G52" s="32" t="n">
        <x:v>30721</x:v>
      </x:c>
      <x:c r="H52" s="32" t="n">
        <x:v>30760</x:v>
      </x:c>
      <x:c r="I52" s="32" t="n">
        <x:v>46159</x:v>
      </x:c>
      <x:c r="J52" s="28" t="n">
        <x:f>H52/I52</x:f>
        <x:v>0.6663922528650967</x:v>
      </x:c>
      <x:c r="K52" s="32" t="n">
        <x:v>9825</x:v>
      </x:c>
      <x:c r="L52" s="32" t="n">
        <x:v>12291</x:v>
      </x:c>
      <x:c r="M52" s="32" t="n">
        <x:v>2825</x:v>
      </x:c>
      <x:c r="N52" s="32" t="n">
        <x:v>1314</x:v>
      </x:c>
      <x:c r="O52" s="32" t="n">
        <x:v>26255</x:v>
      </x:c>
      <x:c r="P52" s="32" t="n">
        <x:v>26334</x:v>
      </x:c>
      <x:c r="Q52" s="28" t="n">
        <x:f>C52/G52</x:f>
        <x:v>0.527652094658377</x:v>
      </x:c>
      <x:c r="R52" s="28" t="n">
        <x:f>K52/O52</x:f>
        <x:v>0.37421443534564847</x:v>
      </x:c>
      <x:c r="S52" s="30" t="n">
        <x:f>(R52-Q52)*100</x:f>
        <x:v>-15.343765931272857</x:v>
      </x:c>
      <x:c r="T52" s="28" t="n">
        <x:f>D52/G52</x:f>
        <x:v>0.3578985059080108</x:v>
      </x:c>
      <x:c r="U52" s="28" t="n">
        <x:f>L52/O52</x:f>
        <x:v>0.4681394020186631</x:v>
      </x:c>
      <x:c r="V52" s="30" t="n">
        <x:f>(U52-T52)*100</x:f>
        <x:v>11.02408961106523</x:v>
      </x:c>
      <x:c r="W52" s="28" t="n">
        <x:f>E52/G52</x:f>
        <x:v>0.05605286286253703</x:v>
      </x:c>
      <x:c r="X52" s="28" t="n">
        <x:f>M52/O52</x:f>
        <x:v>0.10759855265663683</x:v>
      </x:c>
      <x:c r="Y52" s="30" t="n">
        <x:f>(X52-W52)*100</x:f>
        <x:v>5.15456897940998</x:v>
      </x:c>
      <x:c r="Z52" s="32" t="n">
        <x:f>K52-C52</x:f>
        <x:v>-6385</x:v>
      </x:c>
      <x:c r="AA52" s="32" t="n">
        <x:f>P52-H52</x:f>
        <x:v>-4426</x:v>
      </x:c>
      <x:c r="AB52" s="28" t="n">
        <x:f>P52/H52-1</x:f>
        <x:v>-0.14388816644993496</x:v>
      </x:c>
      <x:c r="AC52" t="str">
        <x:f>IF(C52=MAX(C52:F52),"NDP",IF(D52=MAX(C52:F52),"Conservative",IF(E52=MAX(C52:F52),"Green","Other")))</x:f>
        <x:v>NDP</x:v>
      </x:c>
      <x:c r="AD52" t="str">
        <x:f>IF(K52=MAX(K52:N52),"NDP",IF(L52=MAX(K52:N52),"Conservative",IF(M52=MAX(K52:N52),"Green","Other")))</x:f>
        <x:v>Conservative</x:v>
      </x:c>
      <x:c r="AE52" t="str">
        <x:f>IF(AC52=AD52,"No","Yes")</x:f>
        <x:v>Yes</x:v>
      </x:c>
      <x:c r="AF52" s="32" t="n">
        <x:f>LARGE(K52:N52,1)-LARGE(K52:N52,2)</x:f>
        <x:v>2466</x:v>
      </x:c>
      <x:c r="AG52" s="32" t="n">
        <x:f>P52-O52</x:f>
        <x:v>79</x:v>
      </x:c>
      <x:c r="AH52" t="str">
        <x:v>—</x:v>
      </x:c>
      <x:c r="AI52" t="str">
        <x:v>https://elections.bc.ca/docs/rpt/statement-of-votes-2024-provincial-election.pdf</x:v>
      </x:c>
      <x:c r="AJ52" t="str">
        <x:v>https://results.elections.bc.ca/</x:v>
      </x:c>
    </x:row>
    <x:row r="53" ht="19" customHeight="1">
      <x:c r="A53" t="str">
        <x:v>Oak Bay-Gordon Head</x:v>
      </x:c>
      <x:c r="B53" t="str">
        <x:v>Vancouver Island / Gulf Islands</x:v>
      </x:c>
      <x:c r="C53" s="32" t="n">
        <x:v>14519</x:v>
      </x:c>
      <x:c r="D53" s="32" t="n">
        <x:v>8542</x:v>
      </x:c>
      <x:c r="E53" s="32" t="n">
        <x:v>6509</x:v>
      </x:c>
      <x:c r="F53" s="32" t="n">
        <x:v>0</x:v>
      </x:c>
      <x:c r="G53" s="32" t="n">
        <x:v>29570</x:v>
      </x:c>
      <x:c r="H53" s="32" t="n">
        <x:v>29625</x:v>
      </x:c>
      <x:c r="I53" s="32" t="n">
        <x:v>42442</x:v>
      </x:c>
      <x:c r="J53" s="28" t="n">
        <x:f>H53/I53</x:f>
        <x:v>0.6980114037981245</x:v>
      </x:c>
      <x:c r="K53" s="32" t="n">
        <x:v>9200</x:v>
      </x:c>
      <x:c r="L53" s="32" t="n">
        <x:v>7599</x:v>
      </x:c>
      <x:c r="M53" s="32" t="n">
        <x:v>5452</x:v>
      </x:c>
      <x:c r="N53" s="32" t="n">
        <x:v>2590</x:v>
      </x:c>
      <x:c r="O53" s="32" t="n">
        <x:v>24841</x:v>
      </x:c>
      <x:c r="P53" s="32" t="n">
        <x:v>24871</x:v>
      </x:c>
      <x:c r="Q53" s="28" t="n">
        <x:f>C53/G53</x:f>
        <x:v>0.49100439634764964</x:v>
      </x:c>
      <x:c r="R53" s="28" t="n">
        <x:f>K53/O53</x:f>
        <x:v>0.37035546073024433</x:v>
      </x:c>
      <x:c r="S53" s="30" t="n">
        <x:f>(R53-Q53)*100</x:f>
        <x:v>-12.064893561740531</x:v>
      </x:c>
      <x:c r="T53" s="28" t="n">
        <x:f>D53/G53</x:f>
        <x:v>0.288873858640514</x:v>
      </x:c>
      <x:c r="U53" s="28" t="n">
        <x:f>L53/O53</x:f>
        <x:v>0.3059055593575138</x:v>
      </x:c>
      <x:c r="V53" s="30" t="n">
        <x:f>(U53-T53)*100</x:f>
        <x:v>1.7031700716999776</x:v>
      </x:c>
      <x:c r="W53" s="28" t="n">
        <x:f>E53/G53</x:f>
        <x:v>0.22012174501183632</x:v>
      </x:c>
      <x:c r="X53" s="28" t="n">
        <x:f>M53/O53</x:f>
        <x:v>0.21947586651101003</x:v>
      </x:c>
      <x:c r="Y53" s="30" t="n">
        <x:f>(X53-W53)*100</x:f>
        <x:v>-0.06458785008262857</x:v>
      </x:c>
      <x:c r="Z53" s="32" t="n">
        <x:f>K53-C53</x:f>
        <x:v>-5319</x:v>
      </x:c>
      <x:c r="AA53" s="32" t="n">
        <x:f>P53-H53</x:f>
        <x:v>-4754</x:v>
      </x:c>
      <x:c r="AB53" s="28" t="n">
        <x:f>P53/H53-1</x:f>
        <x:v>-0.1604725738396624</x:v>
      </x:c>
      <x:c r="AC53" t="str">
        <x:f>IF(C53=MAX(C53:F53),"NDP",IF(D53=MAX(C53:F53),"Conservative",IF(E53=MAX(C53:F53),"Green","Other")))</x:f>
        <x:v>NDP</x:v>
      </x:c>
      <x:c r="AD53" t="str">
        <x:f>IF(K53=MAX(K53:N53),"NDP",IF(L53=MAX(K53:N53),"Conservative",IF(M53=MAX(K53:N53),"Green","Other")))</x:f>
        <x:v>NDP</x:v>
      </x:c>
      <x:c r="AE53" t="str">
        <x:f>IF(AC53=AD53,"No","Yes")</x:f>
        <x:v>No</x:v>
      </x:c>
      <x:c r="AF53" s="32" t="n">
        <x:f>LARGE(K53:N53,1)-LARGE(K53:N53,2)</x:f>
        <x:v>1601</x:v>
      </x:c>
      <x:c r="AG53" s="32" t="n">
        <x:f>P53-O53</x:f>
        <x:v>30</x:v>
      </x:c>
      <x:c r="AH53" t="str">
        <x:v>—</x:v>
      </x:c>
      <x:c r="AI53" t="str">
        <x:v>https://elections.bc.ca/docs/rpt/statement-of-votes-2024-provincial-election.pdf</x:v>
      </x:c>
      <x:c r="AJ53" t="str">
        <x:v>https://results.elections.bc.ca/</x:v>
      </x:c>
    </x:row>
    <x:row r="54" ht="19" customHeight="1">
      <x:c r="A54" t="str">
        <x:v>Peace River North</x:v>
      </x:c>
      <x:c r="B54" t="str">
        <x:v>North / Central Interior / Coast</x:v>
      </x:c>
      <x:c r="C54" s="32" t="n">
        <x:v>828</x:v>
      </x:c>
      <x:c r="D54" s="32" t="n">
        <x:v>11213</x:v>
      </x:c>
      <x:c r="E54" s="32" t="n">
        <x:v>0</x:v>
      </x:c>
      <x:c r="F54" s="32" t="n">
        <x:v>3038</x:v>
      </x:c>
      <x:c r="G54" s="32" t="n">
        <x:v>15079</x:v>
      </x:c>
      <x:c r="H54" s="32" t="n">
        <x:v>15097</x:v>
      </x:c>
      <x:c r="I54" s="32" t="n">
        <x:v>26413</x:v>
      </x:c>
      <x:c r="J54" s="28" t="n">
        <x:f>H54/I54</x:f>
        <x:v>0.571574603414985</x:v>
      </x:c>
      <x:c r="K54" s="32" t="n">
        <x:v>0</x:v>
      </x:c>
      <x:c r="L54" s="32" t="n">
        <x:v>8957</x:v>
      </x:c>
      <x:c r="M54" s="32" t="n">
        <x:v>0</x:v>
      </x:c>
      <x:c r="N54" s="32" t="n">
        <x:v>1489</x:v>
      </x:c>
      <x:c r="O54" s="32" t="n">
        <x:v>10446</x:v>
      </x:c>
      <x:c r="P54" s="32" t="n">
        <x:v>10749</x:v>
      </x:c>
      <x:c r="Q54" s="28" t="n">
        <x:f>C54/G54</x:f>
        <x:v>0.054910803103654086</x:v>
      </x:c>
      <x:c r="R54" s="28" t="n">
        <x:f>K54/O54</x:f>
        <x:v>0</x:v>
      </x:c>
      <x:c r="S54" s="30" t="n">
        <x:f>(R54-Q54)*100</x:f>
        <x:v>-5.491080310365408</x:v>
      </x:c>
      <x:c r="T54" s="28" t="n">
        <x:f>D54/G54</x:f>
        <x:v>0.7436169507261755</x:v>
      </x:c>
      <x:c r="U54" s="28" t="n">
        <x:f>L54/O54</x:f>
        <x:v>0.8574573999617078</x:v>
      </x:c>
      <x:c r="V54" s="30" t="n">
        <x:f>(U54-T54)*100</x:f>
        <x:v>11.384044923553226</x:v>
      </x:c>
      <x:c r="W54" s="28" t="n">
        <x:f>E54/G54</x:f>
        <x:v>0</x:v>
      </x:c>
      <x:c r="X54" s="28" t="n">
        <x:f>M54/O54</x:f>
        <x:v>0</x:v>
      </x:c>
      <x:c r="Y54" s="30" t="n">
        <x:f>(X54-W54)*100</x:f>
        <x:v>0</x:v>
      </x:c>
      <x:c r="Z54" s="32" t="n">
        <x:f>K54-C54</x:f>
        <x:v>-828</x:v>
      </x:c>
      <x:c r="AA54" s="32" t="n">
        <x:f>P54-H54</x:f>
        <x:v>-4348</x:v>
      </x:c>
      <x:c r="AB54" s="28" t="n">
        <x:f>P54/H54-1</x:f>
        <x:v>-0.2880042392528317</x:v>
      </x:c>
      <x:c r="AC54" t="str">
        <x:f>IF(C54=MAX(C54:F54),"NDP",IF(D54=MAX(C54:F54),"Conservative",IF(E54=MAX(C54:F54),"Green","Other")))</x:f>
        <x:v>Conservative</x:v>
      </x:c>
      <x:c r="AD54" t="str">
        <x:f>IF(K54=MAX(K54:N54),"NDP",IF(L54=MAX(K54:N54),"Conservative",IF(M54=MAX(K54:N54),"Green","Other")))</x:f>
        <x:v>Conservative</x:v>
      </x:c>
      <x:c r="AE54" t="str">
        <x:f>IF(AC54=AD54,"No","Yes")</x:f>
        <x:v>No</x:v>
      </x:c>
      <x:c r="AF54" s="32" t="n">
        <x:f>LARGE(K54:N54,1)-LARGE(K54:N54,2)</x:f>
        <x:v>7468</x:v>
      </x:c>
      <x:c r="AG54" s="32" t="n">
        <x:f>P54-O54</x:f>
        <x:v>303</x:v>
      </x:c>
      <x:c r="AH54" t="str">
        <x:v>No NDP candidate in 2026</x:v>
      </x:c>
      <x:c r="AI54" t="str">
        <x:v>https://elections.bc.ca/docs/rpt/statement-of-votes-2024-provincial-election.pdf</x:v>
      </x:c>
      <x:c r="AJ54" t="str">
        <x:v>https://results.elections.bc.ca/</x:v>
      </x:c>
    </x:row>
    <x:row r="55" ht="19" customHeight="1">
      <x:c r="A55" t="str">
        <x:v>Peace River South</x:v>
      </x:c>
      <x:c r="B55" t="str">
        <x:v>North / Central Interior / Coast</x:v>
      </x:c>
      <x:c r="C55" s="32" t="n">
        <x:v>576</x:v>
      </x:c>
      <x:c r="D55" s="32" t="n">
        <x:v>7182</x:v>
      </x:c>
      <x:c r="E55" s="32" t="n">
        <x:v>0</x:v>
      </x:c>
      <x:c r="F55" s="32" t="n">
        <x:v>2525</x:v>
      </x:c>
      <x:c r="G55" s="32" t="n">
        <x:v>10283</x:v>
      </x:c>
      <x:c r="H55" s="32" t="n">
        <x:v>10298</x:v>
      </x:c>
      <x:c r="I55" s="32" t="n">
        <x:v>18206</x:v>
      </x:c>
      <x:c r="J55" s="28" t="n">
        <x:f>H55/I55</x:f>
        <x:v>0.5656377018565308</x:v>
      </x:c>
      <x:c r="K55" s="32" t="n">
        <x:v>1201</x:v>
      </x:c>
      <x:c r="L55" s="32" t="n">
        <x:v>6070</x:v>
      </x:c>
      <x:c r="M55" s="32" t="n">
        <x:v>0</x:v>
      </x:c>
      <x:c r="N55" s="32" t="n">
        <x:v>542</x:v>
      </x:c>
      <x:c r="O55" s="32" t="n">
        <x:v>7813</x:v>
      </x:c>
      <x:c r="P55" s="32" t="n">
        <x:v>7841</x:v>
      </x:c>
      <x:c r="Q55" s="28" t="n">
        <x:f>C55/G55</x:f>
        <x:v>0.05601478167849849</x:v>
      </x:c>
      <x:c r="R55" s="28" t="n">
        <x:f>K55/O55</x:f>
        <x:v>0.15371816203762959</x:v>
      </x:c>
      <x:c r="S55" s="30" t="n">
        <x:f>(R55-Q55)*100</x:f>
        <x:v>9.77033803591311</x:v>
      </x:c>
      <x:c r="T55" s="28" t="n">
        <x:f>D55/G55</x:f>
        <x:v>0.6984343090537781</x:v>
      </x:c>
      <x:c r="U55" s="28" t="n">
        <x:f>L55/O55</x:f>
        <x:v>0.7769102777422245</x:v>
      </x:c>
      <x:c r="V55" s="30" t="n">
        <x:f>(U55-T55)*100</x:f>
        <x:v>7.847596868844642</x:v>
      </x:c>
      <x:c r="W55" s="28" t="n">
        <x:f>E55/G55</x:f>
        <x:v>0</x:v>
      </x:c>
      <x:c r="X55" s="28" t="n">
        <x:f>M55/O55</x:f>
        <x:v>0</x:v>
      </x:c>
      <x:c r="Y55" s="30" t="n">
        <x:f>(X55-W55)*100</x:f>
        <x:v>0</x:v>
      </x:c>
      <x:c r="Z55" s="32" t="n">
        <x:f>K55-C55</x:f>
        <x:v>625</x:v>
      </x:c>
      <x:c r="AA55" s="32" t="n">
        <x:f>P55-H55</x:f>
        <x:v>-2457</x:v>
      </x:c>
      <x:c r="AB55" s="28" t="n">
        <x:f>P55/H55-1</x:f>
        <x:v>-0.23859001747912212</x:v>
      </x:c>
      <x:c r="AC55" t="str">
        <x:f>IF(C55=MAX(C55:F55),"NDP",IF(D55=MAX(C55:F55),"Conservative",IF(E55=MAX(C55:F55),"Green","Other")))</x:f>
        <x:v>Conservative</x:v>
      </x:c>
      <x:c r="AD55" t="str">
        <x:f>IF(K55=MAX(K55:N55),"NDP",IF(L55=MAX(K55:N55),"Conservative",IF(M55=MAX(K55:N55),"Green","Other")))</x:f>
        <x:v>Conservative</x:v>
      </x:c>
      <x:c r="AE55" t="str">
        <x:f>IF(AC55=AD55,"No","Yes")</x:f>
        <x:v>No</x:v>
      </x:c>
      <x:c r="AF55" s="32" t="n">
        <x:f>LARGE(K55:N55,1)-LARGE(K55:N55,2)</x:f>
        <x:v>4869</x:v>
      </x:c>
      <x:c r="AG55" s="32" t="n">
        <x:f>P55-O55</x:f>
        <x:v>28</x:v>
      </x:c>
      <x:c r="AH55" t="str">
        <x:v>—</x:v>
      </x:c>
      <x:c r="AI55" t="str">
        <x:v>https://elections.bc.ca/docs/rpt/statement-of-votes-2024-provincial-election.pdf</x:v>
      </x:c>
      <x:c r="AJ55" t="str">
        <x:v>https://results.elections.bc.ca/</x:v>
      </x:c>
    </x:row>
    <x:row r="56" ht="19" customHeight="1">
      <x:c r="A56" t="str">
        <x:v>Penticton-Summerland</x:v>
      </x:c>
      <x:c r="B56" t="str">
        <x:v>Southern Interior / Kootenays / Coast</x:v>
      </x:c>
      <x:c r="C56" s="32" t="n">
        <x:v>11298</x:v>
      </x:c>
      <x:c r="D56" s="32" t="n">
        <x:v>11615</x:v>
      </x:c>
      <x:c r="E56" s="32" t="n">
        <x:v>1472</x:v>
      </x:c>
      <x:c r="F56" s="32" t="n">
        <x:v>3691</x:v>
      </x:c>
      <x:c r="G56" s="32" t="n">
        <x:v>28076</x:v>
      </x:c>
      <x:c r="H56" s="32" t="n">
        <x:v>28105</x:v>
      </x:c>
      <x:c r="I56" s="32" t="n">
        <x:v>45707</x:v>
      </x:c>
      <x:c r="J56" s="28" t="n">
        <x:f>H56/I56</x:f>
        <x:v>0.6148948738705231</x:v>
      </x:c>
      <x:c r="K56" s="32" t="n">
        <x:v>10470</x:v>
      </x:c>
      <x:c r="L56" s="32" t="n">
        <x:v>11589</x:v>
      </x:c>
      <x:c r="M56" s="32" t="n">
        <x:v>2031</x:v>
      </x:c>
      <x:c r="N56" s="32" t="n">
        <x:v>1341</x:v>
      </x:c>
      <x:c r="O56" s="32" t="n">
        <x:v>25431</x:v>
      </x:c>
      <x:c r="P56" s="32" t="n">
        <x:v>25461</x:v>
      </x:c>
      <x:c r="Q56" s="28" t="n">
        <x:f>C56/G56</x:f>
        <x:v>0.4024077503917937</x:v>
      </x:c>
      <x:c r="R56" s="28" t="n">
        <x:f>K56/O56</x:f>
        <x:v>0.4117022531555975</x:v>
      </x:c>
      <x:c r="S56" s="30" t="n">
        <x:f>(R56-Q56)*100</x:f>
        <x:v>0.929450276380378</x:v>
      </x:c>
      <x:c r="T56" s="28" t="n">
        <x:f>D56/G56</x:f>
        <x:v>0.41369853255449496</x:v>
      </x:c>
      <x:c r="U56" s="28" t="n">
        <x:f>L56/O56</x:f>
        <x:v>0.4557036687507373</x:v>
      </x:c>
      <x:c r="V56" s="30" t="n">
        <x:f>(U56-T56)*100</x:f>
        <x:v>4.200513619624235</x:v>
      </x:c>
      <x:c r="W56" s="28" t="n">
        <x:f>E56/G56</x:f>
        <x:v>0.05242912095740134</x:v>
      </x:c>
      <x:c r="X56" s="28" t="n">
        <x:f>M56/O56</x:f>
        <x:v>0.07986315913648696</x:v>
      </x:c>
      <x:c r="Y56" s="30" t="n">
        <x:f>(X56-W56)*100</x:f>
        <x:v>2.743403817908562</x:v>
      </x:c>
      <x:c r="Z56" s="32" t="n">
        <x:f>K56-C56</x:f>
        <x:v>-828</x:v>
      </x:c>
      <x:c r="AA56" s="32" t="n">
        <x:f>P56-H56</x:f>
        <x:v>-2644</x:v>
      </x:c>
      <x:c r="AB56" s="28" t="n">
        <x:f>P56/H56-1</x:f>
        <x:v>-0.09407578722647214</x:v>
      </x:c>
      <x:c r="AC56" t="str">
        <x:f>IF(C56=MAX(C56:F56),"NDP",IF(D56=MAX(C56:F56),"Conservative",IF(E56=MAX(C56:F56),"Green","Other")))</x:f>
        <x:v>Conservative</x:v>
      </x:c>
      <x:c r="AD56" t="str">
        <x:f>IF(K56=MAX(K56:N56),"NDP",IF(L56=MAX(K56:N56),"Conservative",IF(M56=MAX(K56:N56),"Green","Other")))</x:f>
        <x:v>Conservative</x:v>
      </x:c>
      <x:c r="AE56" t="str">
        <x:f>IF(AC56=AD56,"No","Yes")</x:f>
        <x:v>No</x:v>
      </x:c>
      <x:c r="AF56" s="32" t="n">
        <x:f>LARGE(K56:N56,1)-LARGE(K56:N56,2)</x:f>
        <x:v>1119</x:v>
      </x:c>
      <x:c r="AG56" s="32" t="n">
        <x:f>P56-O56</x:f>
        <x:v>30</x:v>
      </x:c>
      <x:c r="AH56" t="str">
        <x:v>—</x:v>
      </x:c>
      <x:c r="AI56" t="str">
        <x:v>https://elections.bc.ca/docs/rpt/statement-of-votes-2024-provincial-election.pdf</x:v>
      </x:c>
      <x:c r="AJ56" t="str">
        <x:v>https://results.elections.bc.ca/</x:v>
      </x:c>
    </x:row>
    <x:row r="57" ht="19" customHeight="1">
      <x:c r="A57" t="str">
        <x:v>Port Coquitlam</x:v>
      </x:c>
      <x:c r="B57" t="str">
        <x:v>Burnaby / Tri-Cities / New West</x:v>
      </x:c>
      <x:c r="C57" s="32" t="n">
        <x:v>13843</x:v>
      </x:c>
      <x:c r="D57" s="32" t="n">
        <x:v>9967</x:v>
      </x:c>
      <x:c r="E57" s="32" t="n">
        <x:v>1644</x:v>
      </x:c>
      <x:c r="F57" s="32" t="n">
        <x:v>244</x:v>
      </x:c>
      <x:c r="G57" s="32" t="n">
        <x:v>25698</x:v>
      </x:c>
      <x:c r="H57" s="32" t="n">
        <x:v>25736</x:v>
      </x:c>
      <x:c r="I57" s="32" t="n">
        <x:v>44601</x:v>
      </x:c>
      <x:c r="J57" s="28" t="n">
        <x:f>H57/I57</x:f>
        <x:v>0.577027420909845</x:v>
      </x:c>
      <x:c r="K57" s="32" t="n">
        <x:v>9760</x:v>
      </x:c>
      <x:c r="L57" s="32" t="n">
        <x:v>9374</x:v>
      </x:c>
      <x:c r="M57" s="32" t="n">
        <x:v>1833</x:v>
      </x:c>
      <x:c r="N57" s="32" t="n">
        <x:v>559</x:v>
      </x:c>
      <x:c r="O57" s="32" t="n">
        <x:v>21526</x:v>
      </x:c>
      <x:c r="P57" s="32" t="n">
        <x:v>21570</x:v>
      </x:c>
      <x:c r="Q57" s="28" t="n">
        <x:f>C57/G57</x:f>
        <x:v>0.5386800529224064</x:v>
      </x:c>
      <x:c r="R57" s="28" t="n">
        <x:f>K57/O57</x:f>
        <x:v>0.45340518442813343</x:v>
      </x:c>
      <x:c r="S57" s="30" t="n">
        <x:f>(R57-Q57)*100</x:f>
        <x:v>-8.527486849427296</x:v>
      </x:c>
      <x:c r="T57" s="28" t="n">
        <x:f>D57/G57</x:f>
        <x:v>0.3878511946454977</x:v>
      </x:c>
      <x:c r="U57" s="28" t="n">
        <x:f>L57/O57</x:f>
        <x:v>0.43547338102759453</x:v>
      </x:c>
      <x:c r="V57" s="30" t="n">
        <x:f>(U57-T57)*100</x:f>
        <x:v>4.762218638209681</x:v>
      </x:c>
      <x:c r="W57" s="28" t="n">
        <x:f>E57/G57</x:f>
        <x:v>0.06397385010506654</x:v>
      </x:c>
      <x:c r="X57" s="28" t="n">
        <x:f>M57/O57</x:f>
        <x:v>0.0851528384279476</x:v>
      </x:c>
      <x:c r="Y57" s="30" t="n">
        <x:f>(X57-W57)*100</x:f>
        <x:v>2.1178988322881063</x:v>
      </x:c>
      <x:c r="Z57" s="32" t="n">
        <x:f>K57-C57</x:f>
        <x:v>-4083</x:v>
      </x:c>
      <x:c r="AA57" s="32" t="n">
        <x:f>P57-H57</x:f>
        <x:v>-4166</x:v>
      </x:c>
      <x:c r="AB57" s="28" t="n">
        <x:f>P57/H57-1</x:f>
        <x:v>-0.16187441715884365</x:v>
      </x:c>
      <x:c r="AC57" t="str">
        <x:f>IF(C57=MAX(C57:F57),"NDP",IF(D57=MAX(C57:F57),"Conservative",IF(E57=MAX(C57:F57),"Green","Other")))</x:f>
        <x:v>NDP</x:v>
      </x:c>
      <x:c r="AD57" t="str">
        <x:f>IF(K57=MAX(K57:N57),"NDP",IF(L57=MAX(K57:N57),"Conservative",IF(M57=MAX(K57:N57),"Green","Other")))</x:f>
        <x:v>NDP</x:v>
      </x:c>
      <x:c r="AE57" t="str">
        <x:f>IF(AC57=AD57,"No","Yes")</x:f>
        <x:v>No</x:v>
      </x:c>
      <x:c r="AF57" s="32" t="n">
        <x:f>LARGE(K57:N57,1)-LARGE(K57:N57,2)</x:f>
        <x:v>386</x:v>
      </x:c>
      <x:c r="AG57" s="32" t="n">
        <x:f>P57-O57</x:f>
        <x:v>44</x:v>
      </x:c>
      <x:c r="AH57" t="str">
        <x:v>Close result &lt;=500 votes</x:v>
      </x:c>
      <x:c r="AI57" t="str">
        <x:v>https://elections.bc.ca/docs/rpt/statement-of-votes-2024-provincial-election.pdf</x:v>
      </x:c>
      <x:c r="AJ57" t="str">
        <x:v>https://results.elections.bc.ca/</x:v>
      </x:c>
    </x:row>
    <x:row r="58" ht="19" customHeight="1">
      <x:c r="A58" t="str">
        <x:v>Port Moody-Burquitlam</x:v>
      </x:c>
      <x:c r="B58" t="str">
        <x:v>Burnaby / Tri-Cities / New West</x:v>
      </x:c>
      <x:c r="C58" s="32" t="n">
        <x:v>13488</x:v>
      </x:c>
      <x:c r="D58" s="32" t="n">
        <x:v>10493</x:v>
      </x:c>
      <x:c r="E58" s="32" t="n">
        <x:v>1927</x:v>
      </x:c>
      <x:c r="F58" s="32" t="n">
        <x:v>0</x:v>
      </x:c>
      <x:c r="G58" s="32" t="n">
        <x:v>25908</x:v>
      </x:c>
      <x:c r="H58" s="32" t="n">
        <x:v>25953</x:v>
      </x:c>
      <x:c r="I58" s="32" t="n">
        <x:v>44199</x:v>
      </x:c>
      <x:c r="J58" s="28" t="n">
        <x:f>H58/I58</x:f>
        <x:v>0.5871852304350778</x:v>
      </x:c>
      <x:c r="K58" s="32" t="n">
        <x:v>9635</x:v>
      </x:c>
      <x:c r="L58" s="32" t="n">
        <x:v>10713</x:v>
      </x:c>
      <x:c r="M58" s="32" t="n">
        <x:v>1874</x:v>
      </x:c>
      <x:c r="N58" s="32" t="n">
        <x:v>643</x:v>
      </x:c>
      <x:c r="O58" s="32" t="n">
        <x:v>22865</x:v>
      </x:c>
      <x:c r="P58" s="32" t="n">
        <x:v>22896</x:v>
      </x:c>
      <x:c r="Q58" s="28" t="n">
        <x:f>C58/G58</x:f>
        <x:v>0.5206113941639648</x:v>
      </x:c>
      <x:c r="R58" s="28" t="n">
        <x:f>K58/O58</x:f>
        <x:v>0.4213863984255412</x:v>
      </x:c>
      <x:c r="S58" s="30" t="n">
        <x:f>(R58-Q58)*100</x:f>
        <x:v>-9.922499573842364</x:v>
      </x:c>
      <x:c r="T58" s="28" t="n">
        <x:f>D58/G58</x:f>
        <x:v>0.4050100355102671</x:v>
      </x:c>
      <x:c r="U58" s="28" t="n">
        <x:f>L58/O58</x:f>
        <x:v>0.4685326918871638</x:v>
      </x:c>
      <x:c r="V58" s="30" t="n">
        <x:f>(U58-T58)*100</x:f>
        <x:v>6.352265637689669</x:v>
      </x:c>
      <x:c r="W58" s="28" t="n">
        <x:f>E58/G58</x:f>
        <x:v>0.0743785703257681</x:v>
      </x:c>
      <x:c r="X58" s="28" t="n">
        <x:f>M58/O58</x:f>
        <x:v>0.08195932648152197</x:v>
      </x:c>
      <x:c r="Y58" s="30" t="n">
        <x:f>(X58-W58)*100</x:f>
        <x:v>0.7580756155753876</x:v>
      </x:c>
      <x:c r="Z58" s="32" t="n">
        <x:f>K58-C58</x:f>
        <x:v>-3853</x:v>
      </x:c>
      <x:c r="AA58" s="32" t="n">
        <x:f>P58-H58</x:f>
        <x:v>-3057</x:v>
      </x:c>
      <x:c r="AB58" s="28" t="n">
        <x:f>P58/H58-1</x:f>
        <x:v>-0.11778985088429084</x:v>
      </x:c>
      <x:c r="AC58" t="str">
        <x:f>IF(C58=MAX(C58:F58),"NDP",IF(D58=MAX(C58:F58),"Conservative",IF(E58=MAX(C58:F58),"Green","Other")))</x:f>
        <x:v>NDP</x:v>
      </x:c>
      <x:c r="AD58" t="str">
        <x:f>IF(K58=MAX(K58:N58),"NDP",IF(L58=MAX(K58:N58),"Conservative",IF(M58=MAX(K58:N58),"Green","Other")))</x:f>
        <x:v>Conservative</x:v>
      </x:c>
      <x:c r="AE58" t="str">
        <x:f>IF(AC58=AD58,"No","Yes")</x:f>
        <x:v>Yes</x:v>
      </x:c>
      <x:c r="AF58" s="32" t="n">
        <x:f>LARGE(K58:N58,1)-LARGE(K58:N58,2)</x:f>
        <x:v>1078</x:v>
      </x:c>
      <x:c r="AG58" s="32" t="n">
        <x:f>P58-O58</x:f>
        <x:v>31</x:v>
      </x:c>
      <x:c r="AH58" t="str">
        <x:v>—</x:v>
      </x:c>
      <x:c r="AI58" t="str">
        <x:v>https://elections.bc.ca/docs/rpt/statement-of-votes-2024-provincial-election.pdf</x:v>
      </x:c>
      <x:c r="AJ58" t="str">
        <x:v>https://results.elections.bc.ca/</x:v>
      </x:c>
    </x:row>
    <x:row r="59" ht="19" customHeight="1">
      <x:c r="A59" t="str">
        <x:v>Powell River-Sunshine Coast</x:v>
      </x:c>
      <x:c r="B59" t="str">
        <x:v>Southern Interior / Kootenays / Coast</x:v>
      </x:c>
      <x:c r="C59" s="32" t="n">
        <x:v>14474</x:v>
      </x:c>
      <x:c r="D59" s="32" t="n">
        <x:v>10409</x:v>
      </x:c>
      <x:c r="E59" s="32" t="n">
        <x:v>3932</x:v>
      </x:c>
      <x:c r="F59" s="32" t="n">
        <x:v>356</x:v>
      </x:c>
      <x:c r="G59" s="32" t="n">
        <x:v>29171</x:v>
      </x:c>
      <x:c r="H59" s="32" t="n">
        <x:v>29198</x:v>
      </x:c>
      <x:c r="I59" s="32" t="n">
        <x:v>44009</x:v>
      </x:c>
      <x:c r="J59" s="28" t="n">
        <x:f>H59/I59</x:f>
        <x:v>0.6634552023449749</x:v>
      </x:c>
      <x:c r="K59" s="32" t="n">
        <x:v>12783</x:v>
      </x:c>
      <x:c r="L59" s="32" t="n">
        <x:v>10156</x:v>
      </x:c>
      <x:c r="M59" s="32" t="n">
        <x:v>3103</x:v>
      </x:c>
      <x:c r="N59" s="32" t="n">
        <x:v>0</x:v>
      </x:c>
      <x:c r="O59" s="32" t="n">
        <x:v>26042</x:v>
      </x:c>
      <x:c r="P59" s="32" t="n">
        <x:v>26082</x:v>
      </x:c>
      <x:c r="Q59" s="28" t="n">
        <x:f>C59/G59</x:f>
        <x:v>0.4961777107401186</x:v>
      </x:c>
      <x:c r="R59" s="28" t="n">
        <x:f>K59/O59</x:f>
        <x:v>0.49086091698026263</x:v>
      </x:c>
      <x:c r="S59" s="30" t="n">
        <x:f>(R59-Q59)*100</x:f>
        <x:v>-0.5316793759855998</x:v>
      </x:c>
      <x:c r="T59" s="28" t="n">
        <x:f>D59/G59</x:f>
        <x:v>0.35682698570498095</x:v>
      </x:c>
      <x:c r="U59" s="28" t="n">
        <x:f>L59/O59</x:f>
        <x:v>0.3899854081867752</x:v>
      </x:c>
      <x:c r="V59" s="30" t="n">
        <x:f>(U59-T59)*100</x:f>
        <x:v>3.3158422481794236</x:v>
      </x:c>
      <x:c r="W59" s="28" t="n">
        <x:f>E59/G59</x:f>
        <x:v>0.13479140242021184</x:v>
      </x:c>
      <x:c r="X59" s="28" t="n">
        <x:f>M59/O59</x:f>
        <x:v>0.11915367483296214</x:v>
      </x:c>
      <x:c r="Y59" s="30" t="n">
        <x:f>(X59-W59)*100</x:f>
        <x:v>-1.5637727587249697</x:v>
      </x:c>
      <x:c r="Z59" s="32" t="n">
        <x:f>K59-C59</x:f>
        <x:v>-1691</x:v>
      </x:c>
      <x:c r="AA59" s="32" t="n">
        <x:f>P59-H59</x:f>
        <x:v>-3116</x:v>
      </x:c>
      <x:c r="AB59" s="28" t="n">
        <x:f>P59/H59-1</x:f>
        <x:v>-0.10671963833139253</x:v>
      </x:c>
      <x:c r="AC59" t="str">
        <x:f>IF(C59=MAX(C59:F59),"NDP",IF(D59=MAX(C59:F59),"Conservative",IF(E59=MAX(C59:F59),"Green","Other")))</x:f>
        <x:v>NDP</x:v>
      </x:c>
      <x:c r="AD59" t="str">
        <x:f>IF(K59=MAX(K59:N59),"NDP",IF(L59=MAX(K59:N59),"Conservative",IF(M59=MAX(K59:N59),"Green","Other")))</x:f>
        <x:v>NDP</x:v>
      </x:c>
      <x:c r="AE59" t="str">
        <x:f>IF(AC59=AD59,"No","Yes")</x:f>
        <x:v>No</x:v>
      </x:c>
      <x:c r="AF59" s="32" t="n">
        <x:f>LARGE(K59:N59,1)-LARGE(K59:N59,2)</x:f>
        <x:v>2627</x:v>
      </x:c>
      <x:c r="AG59" s="32" t="n">
        <x:f>P59-O59</x:f>
        <x:v>40</x:v>
      </x:c>
      <x:c r="AH59" t="str">
        <x:v>—</x:v>
      </x:c>
      <x:c r="AI59" t="str">
        <x:v>https://elections.bc.ca/docs/rpt/statement-of-votes-2024-provincial-election.pdf</x:v>
      </x:c>
      <x:c r="AJ59" t="str">
        <x:v>https://results.elections.bc.ca/</x:v>
      </x:c>
    </x:row>
    <x:row r="60" ht="19" customHeight="1">
      <x:c r="A60" t="str">
        <x:v>Prince George-Mackenzie</x:v>
      </x:c>
      <x:c r="B60" t="str">
        <x:v>North / Central Interior / Coast</x:v>
      </x:c>
      <x:c r="C60" s="32" t="n">
        <x:v>5242</x:v>
      </x:c>
      <x:c r="D60" s="32" t="n">
        <x:v>11307</x:v>
      </x:c>
      <x:c r="E60" s="32" t="n">
        <x:v>1576</x:v>
      </x:c>
      <x:c r="F60" s="32" t="n">
        <x:v>435</x:v>
      </x:c>
      <x:c r="G60" s="32" t="n">
        <x:v>18560</x:v>
      </x:c>
      <x:c r="H60" s="32" t="n">
        <x:v>18588</x:v>
      </x:c>
      <x:c r="I60" s="32" t="n">
        <x:v>31239</x:v>
      </x:c>
      <x:c r="J60" s="28" t="n">
        <x:f>H60/I60</x:f>
        <x:v>0.5950254489580332</x:v>
      </x:c>
      <x:c r="K60" s="32" t="n">
        <x:v>3532</x:v>
      </x:c>
      <x:c r="L60" s="32" t="n">
        <x:v>9926</x:v>
      </x:c>
      <x:c r="M60" s="32" t="n">
        <x:v>1517</x:v>
      </x:c>
      <x:c r="N60" s="32" t="n">
        <x:v>0</x:v>
      </x:c>
      <x:c r="O60" s="32" t="n">
        <x:v>14975</x:v>
      </x:c>
      <x:c r="P60" s="32" t="n">
        <x:v>15014</x:v>
      </x:c>
      <x:c r="Q60" s="28" t="n">
        <x:f>C60/G60</x:f>
        <x:v>0.2824353448275862</x:v>
      </x:c>
      <x:c r="R60" s="28" t="n">
        <x:f>K60/O60</x:f>
        <x:v>0.23585976627712854</x:v>
      </x:c>
      <x:c r="S60" s="30" t="n">
        <x:f>(R60-Q60)*100</x:f>
        <x:v>-4.6575578550457655</x:v>
      </x:c>
      <x:c r="T60" s="28" t="n">
        <x:f>D60/G60</x:f>
        <x:v>0.6092133620689655</x:v>
      </x:c>
      <x:c r="U60" s="28" t="n">
        <x:f>L60/O60</x:f>
        <x:v>0.6628380634390652</x:v>
      </x:c>
      <x:c r="V60" s="30" t="n">
        <x:f>(U60-T60)*100</x:f>
        <x:v>5.362470137009967</x:v>
      </x:c>
      <x:c r="W60" s="28" t="n">
        <x:f>E60/G60</x:f>
        <x:v>0.08491379310344828</x:v>
      </x:c>
      <x:c r="X60" s="28" t="n">
        <x:f>M60/O60</x:f>
        <x:v>0.10130217028380635</x:v>
      </x:c>
      <x:c r="Y60" s="30" t="n">
        <x:f>(X60-W60)*100</x:f>
        <x:v>1.6388377180358071</x:v>
      </x:c>
      <x:c r="Z60" s="32" t="n">
        <x:f>K60-C60</x:f>
        <x:v>-1710</x:v>
      </x:c>
      <x:c r="AA60" s="32" t="n">
        <x:f>P60-H60</x:f>
        <x:v>-3574</x:v>
      </x:c>
      <x:c r="AB60" s="28" t="n">
        <x:f>P60/H60-1</x:f>
        <x:v>-0.19227458575425005</x:v>
      </x:c>
      <x:c r="AC60" t="str">
        <x:f>IF(C60=MAX(C60:F60),"NDP",IF(D60=MAX(C60:F60),"Conservative",IF(E60=MAX(C60:F60),"Green","Other")))</x:f>
        <x:v>Conservative</x:v>
      </x:c>
      <x:c r="AD60" t="str">
        <x:f>IF(K60=MAX(K60:N60),"NDP",IF(L60=MAX(K60:N60),"Conservative",IF(M60=MAX(K60:N60),"Green","Other")))</x:f>
        <x:v>Conservative</x:v>
      </x:c>
      <x:c r="AE60" t="str">
        <x:f>IF(AC60=AD60,"No","Yes")</x:f>
        <x:v>No</x:v>
      </x:c>
      <x:c r="AF60" s="32" t="n">
        <x:f>LARGE(K60:N60,1)-LARGE(K60:N60,2)</x:f>
        <x:v>6394</x:v>
      </x:c>
      <x:c r="AG60" s="32" t="n">
        <x:f>P60-O60</x:f>
        <x:v>39</x:v>
      </x:c>
      <x:c r="AH60" t="str">
        <x:v>—</x:v>
      </x:c>
      <x:c r="AI60" t="str">
        <x:v>https://elections.bc.ca/docs/rpt/statement-of-votes-2024-provincial-election.pdf</x:v>
      </x:c>
      <x:c r="AJ60" t="str">
        <x:v>https://results.elections.bc.ca/</x:v>
      </x:c>
    </x:row>
    <x:row r="61" ht="19" customHeight="1">
      <x:c r="A61" t="str">
        <x:v>Prince George-North Cariboo</x:v>
      </x:c>
      <x:c r="B61" t="str">
        <x:v>North / Central Interior / Coast</x:v>
      </x:c>
      <x:c r="C61" s="32" t="n">
        <x:v>3426</x:v>
      </x:c>
      <x:c r="D61" s="32" t="n">
        <x:v>11430</x:v>
      </x:c>
      <x:c r="E61" s="32" t="n">
        <x:v>866</x:v>
      </x:c>
      <x:c r="F61" s="32" t="n">
        <x:v>4394</x:v>
      </x:c>
      <x:c r="G61" s="32" t="n">
        <x:v>20116</x:v>
      </x:c>
      <x:c r="H61" s="32" t="n">
        <x:v>20134</x:v>
      </x:c>
      <x:c r="I61" s="32" t="n">
        <x:v>33572</x:v>
      </x:c>
      <x:c r="J61" s="28" t="n">
        <x:f>H61/I61</x:f>
        <x:v>0.5997259621112833</x:v>
      </x:c>
      <x:c r="K61" s="32" t="n">
        <x:v>3380</x:v>
      </x:c>
      <x:c r="L61" s="32" t="n">
        <x:v>11799</x:v>
      </x:c>
      <x:c r="M61" s="32" t="n">
        <x:v>1577</x:v>
      </x:c>
      <x:c r="N61" s="32" t="n">
        <x:v>0</x:v>
      </x:c>
      <x:c r="O61" s="32" t="n">
        <x:v>16756</x:v>
      </x:c>
      <x:c r="P61" s="32" t="n">
        <x:v>16792</x:v>
      </x:c>
      <x:c r="Q61" s="28" t="n">
        <x:f>C61/G61</x:f>
        <x:v>0.1703121893020481</x:v>
      </x:c>
      <x:c r="R61" s="28" t="n">
        <x:f>K61/O61</x:f>
        <x:v>0.20171878730007162</x:v>
      </x:c>
      <x:c r="S61" s="30" t="n">
        <x:f>(R61-Q61)*100</x:f>
        <x:v>3.1406597998023504</x:v>
      </x:c>
      <x:c r="T61" s="28" t="n">
        <x:f>D61/G61</x:f>
        <x:v>0.5682044143965003</x:v>
      </x:c>
      <x:c r="U61" s="28" t="n">
        <x:f>L61/O61</x:f>
        <x:v>0.7041656719980902</x:v>
      </x:c>
      <x:c r="V61" s="30" t="n">
        <x:f>(U61-T61)*100</x:f>
        <x:v>13.596125760158994</x:v>
      </x:c>
      <x:c r="W61" s="28" t="n">
        <x:f>E61/G61</x:f>
        <x:v>0.043050308212368264</x:v>
      </x:c>
      <x:c r="X61" s="28" t="n">
        <x:f>M61/O61</x:f>
        <x:v>0.09411554070183814</x:v>
      </x:c>
      <x:c r="Y61" s="30" t="n">
        <x:f>(X61-W61)*100</x:f>
        <x:v>5.106523248946988</x:v>
      </x:c>
      <x:c r="Z61" s="32" t="n">
        <x:f>K61-C61</x:f>
        <x:v>-46</x:v>
      </x:c>
      <x:c r="AA61" s="32" t="n">
        <x:f>P61-H61</x:f>
        <x:v>-3342</x:v>
      </x:c>
      <x:c r="AB61" s="28" t="n">
        <x:f>P61/H61-1</x:f>
        <x:v>-0.16598788119598684</x:v>
      </x:c>
      <x:c r="AC61" t="str">
        <x:f>IF(C61=MAX(C61:F61),"NDP",IF(D61=MAX(C61:F61),"Conservative",IF(E61=MAX(C61:F61),"Green","Other")))</x:f>
        <x:v>Conservative</x:v>
      </x:c>
      <x:c r="AD61" t="str">
        <x:f>IF(K61=MAX(K61:N61),"NDP",IF(L61=MAX(K61:N61),"Conservative",IF(M61=MAX(K61:N61),"Green","Other")))</x:f>
        <x:v>Conservative</x:v>
      </x:c>
      <x:c r="AE61" t="str">
        <x:f>IF(AC61=AD61,"No","Yes")</x:f>
        <x:v>No</x:v>
      </x:c>
      <x:c r="AF61" s="32" t="n">
        <x:f>LARGE(K61:N61,1)-LARGE(K61:N61,2)</x:f>
        <x:v>8419</x:v>
      </x:c>
      <x:c r="AG61" s="32" t="n">
        <x:f>P61-O61</x:f>
        <x:v>36</x:v>
      </x:c>
      <x:c r="AH61" t="str">
        <x:v>—</x:v>
      </x:c>
      <x:c r="AI61" t="str">
        <x:v>https://elections.bc.ca/docs/rpt/statement-of-votes-2024-provincial-election.pdf</x:v>
      </x:c>
      <x:c r="AJ61" t="str">
        <x:v>https://results.elections.bc.ca/</x:v>
      </x:c>
    </x:row>
    <x:row r="62" ht="19" customHeight="1">
      <x:c r="A62" t="str">
        <x:v>Prince George-Valemount</x:v>
      </x:c>
      <x:c r="B62" t="str">
        <x:v>North / Central Interior / Coast</x:v>
      </x:c>
      <x:c r="C62" s="32" t="n">
        <x:v>5709</x:v>
      </x:c>
      <x:c r="D62" s="32" t="n">
        <x:v>9018</x:v>
      </x:c>
      <x:c r="E62" s="32" t="n">
        <x:v>1612</x:v>
      </x:c>
      <x:c r="F62" s="32" t="n">
        <x:v>0</x:v>
      </x:c>
      <x:c r="G62" s="32" t="n">
        <x:v>16339</x:v>
      </x:c>
      <x:c r="H62" s="32" t="n">
        <x:v>16382</x:v>
      </x:c>
      <x:c r="I62" s="32" t="n">
        <x:v>30564</x:v>
      </x:c>
      <x:c r="J62" s="28" t="n">
        <x:f>H62/I62</x:f>
        <x:v>0.5359900536578982</x:v>
      </x:c>
      <x:c r="K62" s="32" t="n">
        <x:v>3774</x:v>
      </x:c>
      <x:c r="L62" s="32" t="n">
        <x:v>6597</x:v>
      </x:c>
      <x:c r="M62" s="32" t="n">
        <x:v>1502</x:v>
      </x:c>
      <x:c r="N62" s="32" t="n">
        <x:v>1027</x:v>
      </x:c>
      <x:c r="O62" s="32" t="n">
        <x:v>12900</x:v>
      </x:c>
      <x:c r="P62" s="32" t="n">
        <x:v>12923</x:v>
      </x:c>
      <x:c r="Q62" s="28" t="n">
        <x:f>C62/G62</x:f>
        <x:v>0.3494093885794724</x:v>
      </x:c>
      <x:c r="R62" s="28" t="n">
        <x:f>K62/O62</x:f>
        <x:v>0.29255813953488374</x:v>
      </x:c>
      <x:c r="S62" s="30" t="n">
        <x:f>(R62-Q62)*100</x:f>
        <x:v>-5.685124904458866</x:v>
      </x:c>
      <x:c r="T62" s="28" t="n">
        <x:f>D62/G62</x:f>
        <x:v>0.5519309627272171</x:v>
      </x:c>
      <x:c r="U62" s="28" t="n">
        <x:f>L62/O62</x:f>
        <x:v>0.5113953488372093</x:v>
      </x:c>
      <x:c r="V62" s="30" t="n">
        <x:f>(U62-T62)*100</x:f>
        <x:v>-4.053561389000782</x:v>
      </x:c>
      <x:c r="W62" s="28" t="n">
        <x:f>E62/G62</x:f>
        <x:v>0.09865964869331048</x:v>
      </x:c>
      <x:c r="X62" s="28" t="n">
        <x:f>M62/O62</x:f>
        <x:v>0.11643410852713178</x:v>
      </x:c>
      <x:c r="Y62" s="30" t="n">
        <x:f>(X62-W62)*100</x:f>
        <x:v>1.7774459833821297</x:v>
      </x:c>
      <x:c r="Z62" s="32" t="n">
        <x:f>K62-C62</x:f>
        <x:v>-1935</x:v>
      </x:c>
      <x:c r="AA62" s="32" t="n">
        <x:f>P62-H62</x:f>
        <x:v>-3459</x:v>
      </x:c>
      <x:c r="AB62" s="28" t="n">
        <x:f>P62/H62-1</x:f>
        <x:v>-0.21114638017336096</x:v>
      </x:c>
      <x:c r="AC62" t="str">
        <x:f>IF(C62=MAX(C62:F62),"NDP",IF(D62=MAX(C62:F62),"Conservative",IF(E62=MAX(C62:F62),"Green","Other")))</x:f>
        <x:v>Conservative</x:v>
      </x:c>
      <x:c r="AD62" t="str">
        <x:f>IF(K62=MAX(K62:N62),"NDP",IF(L62=MAX(K62:N62),"Conservative",IF(M62=MAX(K62:N62),"Green","Other")))</x:f>
        <x:v>Conservative</x:v>
      </x:c>
      <x:c r="AE62" t="str">
        <x:f>IF(AC62=AD62,"No","Yes")</x:f>
        <x:v>No</x:v>
      </x:c>
      <x:c r="AF62" s="32" t="n">
        <x:f>LARGE(K62:N62,1)-LARGE(K62:N62,2)</x:f>
        <x:v>2823</x:v>
      </x:c>
      <x:c r="AG62" s="32" t="n">
        <x:f>P62-O62</x:f>
        <x:v>23</x:v>
      </x:c>
      <x:c r="AH62" t="str">
        <x:v>—</x:v>
      </x:c>
      <x:c r="AI62" t="str">
        <x:v>https://elections.bc.ca/docs/rpt/statement-of-votes-2024-provincial-election.pdf</x:v>
      </x:c>
      <x:c r="AJ62" t="str">
        <x:v>https://results.elections.bc.ca/</x:v>
      </x:c>
    </x:row>
    <x:row r="63" ht="19" customHeight="1">
      <x:c r="A63" t="str">
        <x:v>Richmond-Bridgeport</x:v>
      </x:c>
      <x:c r="B63" t="str">
        <x:v>Richmond / Delta</x:v>
      </x:c>
      <x:c r="C63" s="32" t="n">
        <x:v>5921</x:v>
      </x:c>
      <x:c r="D63" s="32" t="n">
        <x:v>9908</x:v>
      </x:c>
      <x:c r="E63" s="32" t="n">
        <x:v>547</x:v>
      </x:c>
      <x:c r="F63" s="32" t="n">
        <x:v>651</x:v>
      </x:c>
      <x:c r="G63" s="32" t="n">
        <x:v>17027</x:v>
      </x:c>
      <x:c r="H63" s="32" t="n">
        <x:v>17081</x:v>
      </x:c>
      <x:c r="I63" s="32" t="n">
        <x:v>35127</x:v>
      </x:c>
      <x:c r="J63" s="28" t="n">
        <x:f>H63/I63</x:f>
        <x:v>0.48626412730947705</x:v>
      </x:c>
      <x:c r="K63" s="32" t="n">
        <x:v>4360</x:v>
      </x:c>
      <x:c r="L63" s="32" t="n">
        <x:v>9390</x:v>
      </x:c>
      <x:c r="M63" s="32" t="n">
        <x:v>0</x:v>
      </x:c>
      <x:c r="N63" s="32" t="n">
        <x:v>0</x:v>
      </x:c>
      <x:c r="O63" s="32" t="n">
        <x:v>13750</x:v>
      </x:c>
      <x:c r="P63" s="32" t="n">
        <x:v>13842</x:v>
      </x:c>
      <x:c r="Q63" s="28" t="n">
        <x:f>C63/G63</x:f>
        <x:v>0.3477418218124156</x:v>
      </x:c>
      <x:c r="R63" s="28" t="n">
        <x:f>K63/O63</x:f>
        <x:v>0.3170909090909091</x:v>
      </x:c>
      <x:c r="S63" s="30" t="n">
        <x:f>(R63-Q63)*100</x:f>
        <x:v>-3.0650912721506494</x:v>
      </x:c>
      <x:c r="T63" s="28" t="n">
        <x:f>D63/G63</x:f>
        <x:v>0.5818993363481529</x:v>
      </x:c>
      <x:c r="U63" s="28" t="n">
        <x:f>L63/O63</x:f>
        <x:v>0.6829090909090909</x:v>
      </x:c>
      <x:c r="V63" s="30" t="n">
        <x:f>(U63-T63)*100</x:f>
        <x:v>10.100975456093797</x:v>
      </x:c>
      <x:c r="W63" s="28" t="n">
        <x:f>E63/G63</x:f>
        <x:v>0.03212544781817114</x:v>
      </x:c>
      <x:c r="X63" s="28" t="n">
        <x:f>M63/O63</x:f>
        <x:v>0</x:v>
      </x:c>
      <x:c r="Y63" s="30" t="n">
        <x:f>(X63-W63)*100</x:f>
        <x:v>-3.2125447818171144</x:v>
      </x:c>
      <x:c r="Z63" s="32" t="n">
        <x:f>K63-C63</x:f>
        <x:v>-1561</x:v>
      </x:c>
      <x:c r="AA63" s="32" t="n">
        <x:f>P63-H63</x:f>
        <x:v>-3239</x:v>
      </x:c>
      <x:c r="AB63" s="28" t="n">
        <x:f>P63/H63-1</x:f>
        <x:v>-0.18962590012294367</x:v>
      </x:c>
      <x:c r="AC63" t="str">
        <x:f>IF(C63=MAX(C63:F63),"NDP",IF(D63=MAX(C63:F63),"Conservative",IF(E63=MAX(C63:F63),"Green","Other")))</x:f>
        <x:v>Conservative</x:v>
      </x:c>
      <x:c r="AD63" t="str">
        <x:f>IF(K63=MAX(K63:N63),"NDP",IF(L63=MAX(K63:N63),"Conservative",IF(M63=MAX(K63:N63),"Green","Other")))</x:f>
        <x:v>Conservative</x:v>
      </x:c>
      <x:c r="AE63" t="str">
        <x:f>IF(AC63=AD63,"No","Yes")</x:f>
        <x:v>No</x:v>
      </x:c>
      <x:c r="AF63" s="32" t="n">
        <x:f>LARGE(K63:N63,1)-LARGE(K63:N63,2)</x:f>
        <x:v>5030</x:v>
      </x:c>
      <x:c r="AG63" s="32" t="n">
        <x:f>P63-O63</x:f>
        <x:v>92</x:v>
      </x:c>
      <x:c r="AH63" t="str">
        <x:v>Green absent 2026</x:v>
      </x:c>
      <x:c r="AI63" t="str">
        <x:v>https://elections.bc.ca/docs/rpt/statement-of-votes-2024-provincial-election.pdf</x:v>
      </x:c>
      <x:c r="AJ63" t="str">
        <x:v>https://results.elections.bc.ca/</x:v>
      </x:c>
    </x:row>
    <x:row r="64" ht="19" customHeight="1">
      <x:c r="A64" t="str">
        <x:v>Richmond Centre</x:v>
      </x:c>
      <x:c r="B64" t="str">
        <x:v>Richmond / Delta</x:v>
      </x:c>
      <x:c r="C64" s="32" t="n">
        <x:v>5961</x:v>
      </x:c>
      <x:c r="D64" s="32" t="n">
        <x:v>8426</x:v>
      </x:c>
      <x:c r="E64" s="32" t="n">
        <x:v>0</x:v>
      </x:c>
      <x:c r="F64" s="32" t="n">
        <x:v>1821</x:v>
      </x:c>
      <x:c r="G64" s="32" t="n">
        <x:v>16208</x:v>
      </x:c>
      <x:c r="H64" s="32" t="n">
        <x:v>16269</x:v>
      </x:c>
      <x:c r="I64" s="32" t="n">
        <x:v>33153</x:v>
      </x:c>
      <x:c r="J64" s="28" t="n">
        <x:f>H64/I64</x:f>
        <x:v>0.4907248212831418</x:v>
      </x:c>
      <x:c r="K64" s="32" t="n">
        <x:v>4356</x:v>
      </x:c>
      <x:c r="L64" s="32" t="n">
        <x:v>7414</x:v>
      </x:c>
      <x:c r="M64" s="32" t="n">
        <x:v>772</x:v>
      </x:c>
      <x:c r="N64" s="32" t="n">
        <x:v>321</x:v>
      </x:c>
      <x:c r="O64" s="32" t="n">
        <x:v>12863</x:v>
      </x:c>
      <x:c r="P64" s="32" t="n">
        <x:v>12901</x:v>
      </x:c>
      <x:c r="Q64" s="28" t="n">
        <x:f>C64/G64</x:f>
        <x:v>0.36778134254689043</x:v>
      </x:c>
      <x:c r="R64" s="28" t="n">
        <x:f>K64/O64</x:f>
        <x:v>0.3386457280572184</x:v>
      </x:c>
      <x:c r="S64" s="30" t="n">
        <x:f>(R64-Q64)*100</x:f>
        <x:v>-2.9135614489672057</x:v>
      </x:c>
      <x:c r="T64" s="28" t="n">
        <x:f>D64/G64</x:f>
        <x:v>0.5198667324777887</x:v>
      </x:c>
      <x:c r="U64" s="28" t="n">
        <x:f>L64/O64</x:f>
        <x:v>0.5763818704812252</x:v>
      </x:c>
      <x:c r="V64" s="30" t="n">
        <x:f>(U64-T64)*100</x:f>
        <x:v>5.651513800343655</x:v>
      </x:c>
      <x:c r="W64" s="28" t="n">
        <x:f>E64/G64</x:f>
        <x:v>0</x:v>
      </x:c>
      <x:c r="X64" s="28" t="n">
        <x:f>M64/O64</x:f>
        <x:v>0.06001710331959885</x:v>
      </x:c>
      <x:c r="Y64" s="30" t="n">
        <x:f>(X64-W64)*100</x:f>
        <x:v>6.001710331959885</x:v>
      </x:c>
      <x:c r="Z64" s="32" t="n">
        <x:f>K64-C64</x:f>
        <x:v>-1605</x:v>
      </x:c>
      <x:c r="AA64" s="32" t="n">
        <x:f>P64-H64</x:f>
        <x:v>-3368</x:v>
      </x:c>
      <x:c r="AB64" s="28" t="n">
        <x:f>P64/H64-1</x:f>
        <x:v>-0.20701948490995148</x:v>
      </x:c>
      <x:c r="AC64" t="str">
        <x:f>IF(C64=MAX(C64:F64),"NDP",IF(D64=MAX(C64:F64),"Conservative",IF(E64=MAX(C64:F64),"Green","Other")))</x:f>
        <x:v>Conservative</x:v>
      </x:c>
      <x:c r="AD64" t="str">
        <x:f>IF(K64=MAX(K64:N64),"NDP",IF(L64=MAX(K64:N64),"Conservative",IF(M64=MAX(K64:N64),"Green","Other")))</x:f>
        <x:v>Conservative</x:v>
      </x:c>
      <x:c r="AE64" t="str">
        <x:f>IF(AC64=AD64,"No","Yes")</x:f>
        <x:v>No</x:v>
      </x:c>
      <x:c r="AF64" s="32" t="n">
        <x:f>LARGE(K64:N64,1)-LARGE(K64:N64,2)</x:f>
        <x:v>3058</x:v>
      </x:c>
      <x:c r="AG64" s="32" t="n">
        <x:f>P64-O64</x:f>
        <x:v>38</x:v>
      </x:c>
      <x:c r="AH64" t="str">
        <x:v>Green absent 2024</x:v>
      </x:c>
      <x:c r="AI64" t="str">
        <x:v>https://elections.bc.ca/docs/rpt/statement-of-votes-2024-provincial-election.pdf</x:v>
      </x:c>
      <x:c r="AJ64" t="str">
        <x:v>https://results.elections.bc.ca/</x:v>
      </x:c>
    </x:row>
    <x:row r="65" ht="19" customHeight="1">
      <x:c r="A65" t="str">
        <x:v>Richmond-Queensborough</x:v>
      </x:c>
      <x:c r="B65" t="str">
        <x:v>Richmond / Delta</x:v>
      </x:c>
      <x:c r="C65" s="32" t="n">
        <x:v>8713</x:v>
      </x:c>
      <x:c r="D65" s="32" t="n">
        <x:v>10052</x:v>
      </x:c>
      <x:c r="E65" s="32" t="n">
        <x:v>0</x:v>
      </x:c>
      <x:c r="F65" s="32" t="n">
        <x:v>979</x:v>
      </x:c>
      <x:c r="G65" s="32" t="n">
        <x:v>19744</x:v>
      </x:c>
      <x:c r="H65" s="32" t="n">
        <x:v>19807</x:v>
      </x:c>
      <x:c r="I65" s="32" t="n">
        <x:v>37364</x:v>
      </x:c>
      <x:c r="J65" s="28" t="n">
        <x:f>H65/I65</x:f>
        <x:v>0.530109196017557</x:v>
      </x:c>
      <x:c r="K65" s="32" t="n">
        <x:v>5453</x:v>
      </x:c>
      <x:c r="L65" s="32" t="n">
        <x:v>9642</x:v>
      </x:c>
      <x:c r="M65" s="32" t="n">
        <x:v>1239</x:v>
      </x:c>
      <x:c r="N65" s="32" t="n">
        <x:v>0</x:v>
      </x:c>
      <x:c r="O65" s="32" t="n">
        <x:v>16334</x:v>
      </x:c>
      <x:c r="P65" s="32" t="n">
        <x:v>16387</x:v>
      </x:c>
      <x:c r="Q65" s="28" t="n">
        <x:f>C65/G65</x:f>
        <x:v>0.4412986223662885</x:v>
      </x:c>
      <x:c r="R65" s="28" t="n">
        <x:f>K65/O65</x:f>
        <x:v>0.3338435165911595</x:v>
      </x:c>
      <x:c r="S65" s="30" t="n">
        <x:f>(R65-Q65)*100</x:f>
        <x:v>-10.745510577512896</x:v>
      </x:c>
      <x:c r="T65" s="28" t="n">
        <x:f>D65/G65</x:f>
        <x:v>0.5091166936790924</x:v>
      </x:c>
      <x:c r="U65" s="28" t="n">
        <x:f>L65/O65</x:f>
        <x:v>0.5903024366352394</x:v>
      </x:c>
      <x:c r="V65" s="30" t="n">
        <x:f>(U65-T65)*100</x:f>
        <x:v>8.1185742956147</x:v>
      </x:c>
      <x:c r="W65" s="28" t="n">
        <x:f>E65/G65</x:f>
        <x:v>0</x:v>
      </x:c>
      <x:c r="X65" s="28" t="n">
        <x:f>M65/O65</x:f>
        <x:v>0.07585404677360108</x:v>
      </x:c>
      <x:c r="Y65" s="30" t="n">
        <x:f>(X65-W65)*100</x:f>
        <x:v>7.585404677360108</x:v>
      </x:c>
      <x:c r="Z65" s="32" t="n">
        <x:f>K65-C65</x:f>
        <x:v>-3260</x:v>
      </x:c>
      <x:c r="AA65" s="32" t="n">
        <x:f>P65-H65</x:f>
        <x:v>-3420</x:v>
      </x:c>
      <x:c r="AB65" s="28" t="n">
        <x:f>P65/H65-1</x:f>
        <x:v>-0.17266622911092033</x:v>
      </x:c>
      <x:c r="AC65" t="str">
        <x:f>IF(C65=MAX(C65:F65),"NDP",IF(D65=MAX(C65:F65),"Conservative",IF(E65=MAX(C65:F65),"Green","Other")))</x:f>
        <x:v>Conservative</x:v>
      </x:c>
      <x:c r="AD65" t="str">
        <x:f>IF(K65=MAX(K65:N65),"NDP",IF(L65=MAX(K65:N65),"Conservative",IF(M65=MAX(K65:N65),"Green","Other")))</x:f>
        <x:v>Conservative</x:v>
      </x:c>
      <x:c r="AE65" t="str">
        <x:f>IF(AC65=AD65,"No","Yes")</x:f>
        <x:v>No</x:v>
      </x:c>
      <x:c r="AF65" s="32" t="n">
        <x:f>LARGE(K65:N65,1)-LARGE(K65:N65,2)</x:f>
        <x:v>4189</x:v>
      </x:c>
      <x:c r="AG65" s="32" t="n">
        <x:f>P65-O65</x:f>
        <x:v>53</x:v>
      </x:c>
      <x:c r="AH65" t="str">
        <x:v>Green absent 2024</x:v>
      </x:c>
      <x:c r="AI65" t="str">
        <x:v>https://elections.bc.ca/docs/rpt/statement-of-votes-2024-provincial-election.pdf</x:v>
      </x:c>
      <x:c r="AJ65" t="str">
        <x:v>https://results.elections.bc.ca/</x:v>
      </x:c>
    </x:row>
    <x:row r="66" ht="19" customHeight="1">
      <x:c r="A66" t="str">
        <x:v>Richmond-Steveston</x:v>
      </x:c>
      <x:c r="B66" t="str">
        <x:v>Richmond / Delta</x:v>
      </x:c>
      <x:c r="C66" s="32" t="n">
        <x:v>10332</x:v>
      </x:c>
      <x:c r="D66" s="32" t="n">
        <x:v>9848</x:v>
      </x:c>
      <x:c r="E66" s="32" t="n">
        <x:v>803</x:v>
      </x:c>
      <x:c r="F66" s="32" t="n">
        <x:v>2354</x:v>
      </x:c>
      <x:c r="G66" s="32" t="n">
        <x:v>23337</x:v>
      </x:c>
      <x:c r="H66" s="32" t="n">
        <x:v>23389</x:v>
      </x:c>
      <x:c r="I66" s="32" t="n">
        <x:v>39067</x:v>
      </x:c>
      <x:c r="J66" s="28" t="n">
        <x:f>H66/I66</x:f>
        <x:v>0.5986894309775513</x:v>
      </x:c>
      <x:c r="K66" s="32" t="n">
        <x:v>7002</x:v>
      </x:c>
      <x:c r="L66" s="32" t="n">
        <x:v>10843</x:v>
      </x:c>
      <x:c r="M66" s="32" t="n">
        <x:v>0</x:v>
      </x:c>
      <x:c r="N66" s="32" t="n">
        <x:v>2168</x:v>
      </x:c>
      <x:c r="O66" s="32" t="n">
        <x:v>20013</x:v>
      </x:c>
      <x:c r="P66" s="32" t="n">
        <x:v>20066</x:v>
      </x:c>
      <x:c r="Q66" s="28" t="n">
        <x:f>C66/G66</x:f>
        <x:v>0.4427304280755881</x:v>
      </x:c>
      <x:c r="R66" s="28" t="n">
        <x:f>K66/O66</x:f>
        <x:v>0.34987258282116623</x:v>
      </x:c>
      <x:c r="S66" s="30" t="n">
        <x:f>(R66-Q66)*100</x:f>
        <x:v>-9.285784525442187</x:v>
      </x:c>
      <x:c r="T66" s="28" t="n">
        <x:f>D66/G66</x:f>
        <x:v>0.4219908300124266</x:v>
      </x:c>
      <x:c r="U66" s="28" t="n">
        <x:f>L66/O66</x:f>
        <x:v>0.5417978314095838</x:v>
      </x:c>
      <x:c r="V66" s="30" t="n">
        <x:f>(U66-T66)*100</x:f>
        <x:v>11.980700139715722</x:v>
      </x:c>
      <x:c r="W66" s="28" t="n">
        <x:f>E66/G66</x:f>
        <x:v>0.03440887860479067</x:v>
      </x:c>
      <x:c r="X66" s="28" t="n">
        <x:f>M66/O66</x:f>
        <x:v>0</x:v>
      </x:c>
      <x:c r="Y66" s="30" t="n">
        <x:f>(X66-W66)*100</x:f>
        <x:v>-3.440887860479067</x:v>
      </x:c>
      <x:c r="Z66" s="32" t="n">
        <x:f>K66-C66</x:f>
        <x:v>-3330</x:v>
      </x:c>
      <x:c r="AA66" s="32" t="n">
        <x:f>P66-H66</x:f>
        <x:v>-3323</x:v>
      </x:c>
      <x:c r="AB66" s="28" t="n">
        <x:f>P66/H66-1</x:f>
        <x:v>-0.1420753345589807</x:v>
      </x:c>
      <x:c r="AC66" t="str">
        <x:f>IF(C66=MAX(C66:F66),"NDP",IF(D66=MAX(C66:F66),"Conservative",IF(E66=MAX(C66:F66),"Green","Other")))</x:f>
        <x:v>NDP</x:v>
      </x:c>
      <x:c r="AD66" t="str">
        <x:f>IF(K66=MAX(K66:N66),"NDP",IF(L66=MAX(K66:N66),"Conservative",IF(M66=MAX(K66:N66),"Green","Other")))</x:f>
        <x:v>Conservative</x:v>
      </x:c>
      <x:c r="AE66" t="str">
        <x:f>IF(AC66=AD66,"No","Yes")</x:f>
        <x:v>Yes</x:v>
      </x:c>
      <x:c r="AF66" s="32" t="n">
        <x:f>LARGE(K66:N66,1)-LARGE(K66:N66,2)</x:f>
        <x:v>3841</x:v>
      </x:c>
      <x:c r="AG66" s="32" t="n">
        <x:f>P66-O66</x:f>
        <x:v>53</x:v>
      </x:c>
      <x:c r="AH66" t="str">
        <x:v>Green absent 2026</x:v>
      </x:c>
      <x:c r="AI66" t="str">
        <x:v>https://elections.bc.ca/docs/rpt/statement-of-votes-2024-provincial-election.pdf</x:v>
      </x:c>
      <x:c r="AJ66" t="str">
        <x:v>https://results.elections.bc.ca/</x:v>
      </x:c>
    </x:row>
    <x:row r="67" ht="19" customHeight="1">
      <x:c r="A67" t="str">
        <x:v>Saanich North and the Islands</x:v>
      </x:c>
      <x:c r="B67" t="str">
        <x:v>Vancouver Island / Gulf Islands</x:v>
      </x:c>
      <x:c r="C67" s="32" t="n">
        <x:v>10958</x:v>
      </x:c>
      <x:c r="D67" s="32" t="n">
        <x:v>10145</x:v>
      </x:c>
      <x:c r="E67" s="32" t="n">
        <x:v>12308</x:v>
      </x:c>
      <x:c r="F67" s="32" t="n">
        <x:v>635</x:v>
      </x:c>
      <x:c r="G67" s="32" t="n">
        <x:v>34046</x:v>
      </x:c>
      <x:c r="H67" s="32" t="n">
        <x:v>34087</x:v>
      </x:c>
      <x:c r="I67" s="32" t="n">
        <x:v>49437</x:v>
      </x:c>
      <x:c r="J67" s="28" t="n">
        <x:f>H67/I67</x:f>
        <x:v>0.6895038129336327</x:v>
      </x:c>
      <x:c r="K67" s="32" t="n">
        <x:v>5225</x:v>
      </x:c>
      <x:c r="L67" s="32" t="n">
        <x:v>9464</x:v>
      </x:c>
      <x:c r="M67" s="32" t="n">
        <x:v>14481</x:v>
      </x:c>
      <x:c r="N67" s="32" t="n">
        <x:v>698</x:v>
      </x:c>
      <x:c r="O67" s="32" t="n">
        <x:v>29868</x:v>
      </x:c>
      <x:c r="P67" s="32" t="n">
        <x:v>29894</x:v>
      </x:c>
      <x:c r="Q67" s="28" t="n">
        <x:f>C67/G67</x:f>
        <x:v>0.32185866181049166</x:v>
      </x:c>
      <x:c r="R67" s="28" t="n">
        <x:f>K67/O67</x:f>
        <x:v>0.17493638676844783</x:v>
      </x:c>
      <x:c r="S67" s="30" t="n">
        <x:f>(R67-Q67)*100</x:f>
        <x:v>-14.692227504204384</x:v>
      </x:c>
      <x:c r="T67" s="28" t="n">
        <x:f>D67/G67</x:f>
        <x:v>0.2979792046055337</x:v>
      </x:c>
      <x:c r="U67" s="28" t="n">
        <x:f>L67/O67</x:f>
        <x:v>0.3168608544261417</x:v>
      </x:c>
      <x:c r="V67" s="30" t="n">
        <x:f>(U67-T67)*100</x:f>
        <x:v>1.8881649820608026</x:v>
      </x:c>
      <x:c r="W67" s="28" t="n">
        <x:f>E67/G67</x:f>
        <x:v>0.36151089702167655</x:v>
      </x:c>
      <x:c r="X67" s="28" t="n">
        <x:f>M67/O67</x:f>
        <x:v>0.48483326637203694</x:v>
      </x:c>
      <x:c r="Y67" s="30" t="n">
        <x:f>(X67-W67)*100</x:f>
        <x:v>12.33223693503604</x:v>
      </x:c>
      <x:c r="Z67" s="32" t="n">
        <x:f>K67-C67</x:f>
        <x:v>-5733</x:v>
      </x:c>
      <x:c r="AA67" s="32" t="n">
        <x:f>P67-H67</x:f>
        <x:v>-4193</x:v>
      </x:c>
      <x:c r="AB67" s="28" t="n">
        <x:f>P67/H67-1</x:f>
        <x:v>-0.12300877167248514</x:v>
      </x:c>
      <x:c r="AC67" t="str">
        <x:f>IF(C67=MAX(C67:F67),"NDP",IF(D67=MAX(C67:F67),"Conservative",IF(E67=MAX(C67:F67),"Green","Other")))</x:f>
        <x:v>Green</x:v>
      </x:c>
      <x:c r="AD67" t="str">
        <x:f>IF(K67=MAX(K67:N67),"NDP",IF(L67=MAX(K67:N67),"Conservative",IF(M67=MAX(K67:N67),"Green","Other")))</x:f>
        <x:v>Green</x:v>
      </x:c>
      <x:c r="AE67" t="str">
        <x:f>IF(AC67=AD67,"No","Yes")</x:f>
        <x:v>No</x:v>
      </x:c>
      <x:c r="AF67" s="32" t="n">
        <x:f>LARGE(K67:N67,1)-LARGE(K67:N67,2)</x:f>
        <x:v>5017</x:v>
      </x:c>
      <x:c r="AG67" s="32" t="n">
        <x:f>P67-O67</x:f>
        <x:v>26</x:v>
      </x:c>
      <x:c r="AH67" t="str">
        <x:v>—</x:v>
      </x:c>
      <x:c r="AI67" t="str">
        <x:v>https://elections.bc.ca/docs/rpt/statement-of-votes-2024-provincial-election.pdf</x:v>
      </x:c>
      <x:c r="AJ67" t="str">
        <x:v>https://results.elections.bc.ca/</x:v>
      </x:c>
    </x:row>
    <x:row r="68" ht="19" customHeight="1">
      <x:c r="A68" t="str">
        <x:v>Saanich South</x:v>
      </x:c>
      <x:c r="B68" t="str">
        <x:v>Vancouver Island / Gulf Islands</x:v>
      </x:c>
      <x:c r="C68" s="32" t="n">
        <x:v>15338</x:v>
      </x:c>
      <x:c r="D68" s="32" t="n">
        <x:v>10003</x:v>
      </x:c>
      <x:c r="E68" s="32" t="n">
        <x:v>5485</x:v>
      </x:c>
      <x:c r="F68" s="32" t="n">
        <x:v>0</x:v>
      </x:c>
      <x:c r="G68" s="32" t="n">
        <x:v>30826</x:v>
      </x:c>
      <x:c r="H68" s="32" t="n">
        <x:v>30870</x:v>
      </x:c>
      <x:c r="I68" s="32" t="n">
        <x:v>45655</x:v>
      </x:c>
      <x:c r="J68" s="28" t="n">
        <x:f>H68/I68</x:f>
        <x:v>0.6761581425911729</x:v>
      </x:c>
      <x:c r="K68" s="32" t="n">
        <x:v>9322</x:v>
      </x:c>
      <x:c r="L68" s="32" t="n">
        <x:v>10549</x:v>
      </x:c>
      <x:c r="M68" s="32" t="n">
        <x:v>6985</x:v>
      </x:c>
      <x:c r="N68" s="32" t="n">
        <x:v>0</x:v>
      </x:c>
      <x:c r="O68" s="32" t="n">
        <x:v>26856</x:v>
      </x:c>
      <x:c r="P68" s="32" t="n">
        <x:v>26881</x:v>
      </x:c>
      <x:c r="Q68" s="28" t="n">
        <x:f>C68/G68</x:f>
        <x:v>0.4975669889054694</x:v>
      </x:c>
      <x:c r="R68" s="28" t="n">
        <x:f>K68/O68</x:f>
        <x:v>0.34711051534107834</x:v>
      </x:c>
      <x:c r="S68" s="30" t="n">
        <x:f>(R68-Q68)*100</x:f>
        <x:v>-15.045647356439106</x:v>
      </x:c>
      <x:c r="T68" s="28" t="n">
        <x:f>D68/G68</x:f>
        <x:v>0.3244987997145267</x:v>
      </x:c>
      <x:c r="U68" s="28" t="n">
        <x:f>L68/O68</x:f>
        <x:v>0.39279862972892465</x:v>
      </x:c>
      <x:c r="V68" s="30" t="n">
        <x:f>(U68-T68)*100</x:f>
        <x:v>6.8299830014397935</x:v>
      </x:c>
      <x:c r="W68" s="28" t="n">
        <x:f>E68/G68</x:f>
        <x:v>0.1779342113800039</x:v>
      </x:c>
      <x:c r="X68" s="28" t="n">
        <x:f>M68/O68</x:f>
        <x:v>0.260090854929997</x:v>
      </x:c>
      <x:c r="Y68" s="30" t="n">
        <x:f>(X68-W68)*100</x:f>
        <x:v>8.21566435499931</x:v>
      </x:c>
      <x:c r="Z68" s="32" t="n">
        <x:f>K68-C68</x:f>
        <x:v>-6016</x:v>
      </x:c>
      <x:c r="AA68" s="32" t="n">
        <x:f>P68-H68</x:f>
        <x:v>-3989</x:v>
      </x:c>
      <x:c r="AB68" s="28" t="n">
        <x:f>P68/H68-1</x:f>
        <x:v>-0.12921930677032722</x:v>
      </x:c>
      <x:c r="AC68" t="str">
        <x:f>IF(C68=MAX(C68:F68),"NDP",IF(D68=MAX(C68:F68),"Conservative",IF(E68=MAX(C68:F68),"Green","Other")))</x:f>
        <x:v>NDP</x:v>
      </x:c>
      <x:c r="AD68" t="str">
        <x:f>IF(K68=MAX(K68:N68),"NDP",IF(L68=MAX(K68:N68),"Conservative",IF(M68=MAX(K68:N68),"Green","Other")))</x:f>
        <x:v>Conservative</x:v>
      </x:c>
      <x:c r="AE68" t="str">
        <x:f>IF(AC68=AD68,"No","Yes")</x:f>
        <x:v>Yes</x:v>
      </x:c>
      <x:c r="AF68" s="32" t="n">
        <x:f>LARGE(K68:N68,1)-LARGE(K68:N68,2)</x:f>
        <x:v>1227</x:v>
      </x:c>
      <x:c r="AG68" s="32" t="n">
        <x:f>P68-O68</x:f>
        <x:v>25</x:v>
      </x:c>
      <x:c r="AH68" t="str">
        <x:v>—</x:v>
      </x:c>
      <x:c r="AI68" t="str">
        <x:v>https://elections.bc.ca/docs/rpt/statement-of-votes-2024-provincial-election.pdf</x:v>
      </x:c>
      <x:c r="AJ68" t="str">
        <x:v>https://results.elections.bc.ca/</x:v>
      </x:c>
    </x:row>
    <x:row r="69" ht="19" customHeight="1">
      <x:c r="A69" t="str">
        <x:v>Salmon Arm-Shuswap</x:v>
      </x:c>
      <x:c r="B69" t="str">
        <x:v>Southern Interior / Kootenays / Coast</x:v>
      </x:c>
      <x:c r="C69" s="32" t="n">
        <x:v>9677</x:v>
      </x:c>
      <x:c r="D69" s="32" t="n">
        <x:v>16566</x:v>
      </x:c>
      <x:c r="E69" s="32" t="n">
        <x:v>2250</x:v>
      </x:c>
      <x:c r="F69" s="32" t="n">
        <x:v>3295</x:v>
      </x:c>
      <x:c r="G69" s="32" t="n">
        <x:v>31788</x:v>
      </x:c>
      <x:c r="H69" s="32" t="n">
        <x:v>31819</x:v>
      </x:c>
      <x:c r="I69" s="32" t="n">
        <x:v>51806</x:v>
      </x:c>
      <x:c r="J69" s="28" t="n">
        <x:f>H69/I69</x:f>
        <x:v>0.6141952669574953</x:v>
      </x:c>
      <x:c r="K69" s="32" t="n">
        <x:v>7906</x:v>
      </x:c>
      <x:c r="L69" s="32" t="n">
        <x:v>15421</x:v>
      </x:c>
      <x:c r="M69" s="32" t="n">
        <x:v>2312</x:v>
      </x:c>
      <x:c r="N69" s="32" t="n">
        <x:v>2469</x:v>
      </x:c>
      <x:c r="O69" s="32" t="n">
        <x:v>28108</x:v>
      </x:c>
      <x:c r="P69" s="32" t="n">
        <x:v>28152</x:v>
      </x:c>
      <x:c r="Q69" s="28" t="n">
        <x:f>C69/G69</x:f>
        <x:v>0.3044230527242985</x:v>
      </x:c>
      <x:c r="R69" s="28" t="n">
        <x:f>K69/O69</x:f>
        <x:v>0.28127223566244486</x:v>
      </x:c>
      <x:c r="S69" s="30" t="n">
        <x:f>(R69-Q69)*100</x:f>
        <x:v>-2.3150817061853624</x:v>
      </x:c>
      <x:c r="T69" s="28" t="n">
        <x:f>D69/G69</x:f>
        <x:v>0.5211400528501321</x:v>
      </x:c>
      <x:c r="U69" s="28" t="n">
        <x:f>L69/O69</x:f>
        <x:v>0.548633840899388</x:v>
      </x:c>
      <x:c r="V69" s="30" t="n">
        <x:f>(U69-T69)*100</x:f>
        <x:v>2.749378804925595</x:v>
      </x:c>
      <x:c r="W69" s="28" t="n">
        <x:f>E69/G69</x:f>
        <x:v>0.07078142695356739</x:v>
      </x:c>
      <x:c r="X69" s="28" t="n">
        <x:f>M69/O69</x:f>
        <x:v>0.08225416251600967</x:v>
      </x:c>
      <x:c r="Y69" s="30" t="n">
        <x:f>(X69-W69)*100</x:f>
        <x:v>1.1472735562442284</x:v>
      </x:c>
      <x:c r="Z69" s="32" t="n">
        <x:f>K69-C69</x:f>
        <x:v>-1771</x:v>
      </x:c>
      <x:c r="AA69" s="32" t="n">
        <x:f>P69-H69</x:f>
        <x:v>-3667</x:v>
      </x:c>
      <x:c r="AB69" s="28" t="n">
        <x:f>P69/H69-1</x:f>
        <x:v>-0.11524560797008077</x:v>
      </x:c>
      <x:c r="AC69" t="str">
        <x:f>IF(C69=MAX(C69:F69),"NDP",IF(D69=MAX(C69:F69),"Conservative",IF(E69=MAX(C69:F69),"Green","Other")))</x:f>
        <x:v>Conservative</x:v>
      </x:c>
      <x:c r="AD69" t="str">
        <x:f>IF(K69=MAX(K69:N69),"NDP",IF(L69=MAX(K69:N69),"Conservative",IF(M69=MAX(K69:N69),"Green","Other")))</x:f>
        <x:v>Conservative</x:v>
      </x:c>
      <x:c r="AE69" t="str">
        <x:f>IF(AC69=AD69,"No","Yes")</x:f>
        <x:v>No</x:v>
      </x:c>
      <x:c r="AF69" s="32" t="n">
        <x:f>LARGE(K69:N69,1)-LARGE(K69:N69,2)</x:f>
        <x:v>7515</x:v>
      </x:c>
      <x:c r="AG69" s="32" t="n">
        <x:f>P69-O69</x:f>
        <x:v>44</x:v>
      </x:c>
      <x:c r="AH69" t="str">
        <x:v>—</x:v>
      </x:c>
      <x:c r="AI69" t="str">
        <x:v>https://elections.bc.ca/docs/rpt/statement-of-votes-2024-provincial-election.pdf</x:v>
      </x:c>
      <x:c r="AJ69" t="str">
        <x:v>https://results.elections.bc.ca/</x:v>
      </x:c>
    </x:row>
    <x:row r="70" ht="19" customHeight="1">
      <x:c r="A70" t="str">
        <x:v>Skeena</x:v>
      </x:c>
      <x:c r="B70" t="str">
        <x:v>North / Central Interior / Coast</x:v>
      </x:c>
      <x:c r="C70" s="32" t="n">
        <x:v>5419</x:v>
      </x:c>
      <x:c r="D70" s="32" t="n">
        <x:v>6243</x:v>
      </x:c>
      <x:c r="E70" s="32" t="n">
        <x:v>406</x:v>
      </x:c>
      <x:c r="F70" s="32" t="n">
        <x:v>126</x:v>
      </x:c>
      <x:c r="G70" s="32" t="n">
        <x:v>12194</x:v>
      </x:c>
      <x:c r="H70" s="32" t="n">
        <x:v>12217</x:v>
      </x:c>
      <x:c r="I70" s="32" t="n">
        <x:v>21885</x:v>
      </x:c>
      <x:c r="J70" s="28" t="n">
        <x:f>H70/I70</x:f>
        <x:v>0.5582362348640622</x:v>
      </x:c>
      <x:c r="K70" s="32" t="n">
        <x:v>4106</x:v>
      </x:c>
      <x:c r="L70" s="32" t="n">
        <x:v>5634</x:v>
      </x:c>
      <x:c r="M70" s="32" t="n">
        <x:v>919</x:v>
      </x:c>
      <x:c r="N70" s="32" t="n">
        <x:v>281</x:v>
      </x:c>
      <x:c r="O70" s="32" t="n">
        <x:v>10940</x:v>
      </x:c>
      <x:c r="P70" s="32" t="n">
        <x:v>10960</x:v>
      </x:c>
      <x:c r="Q70" s="28" t="n">
        <x:f>C70/G70</x:f>
        <x:v>0.44439888469739214</x:v>
      </x:c>
      <x:c r="R70" s="28" t="n">
        <x:f>K70/O70</x:f>
        <x:v>0.3753199268738574</x:v>
      </x:c>
      <x:c r="S70" s="30" t="n">
        <x:f>(R70-Q70)*100</x:f>
        <x:v>-6.9078957823534735</x:v>
      </x:c>
      <x:c r="T70" s="28" t="n">
        <x:f>D70/G70</x:f>
        <x:v>0.5119731015253404</x:v>
      </x:c>
      <x:c r="U70" s="28" t="n">
        <x:f>L70/O70</x:f>
        <x:v>0.5149908592321755</x:v>
      </x:c>
      <x:c r="V70" s="30" t="n">
        <x:f>(U70-T70)*100</x:f>
        <x:v>0.30177577068351</x:v>
      </x:c>
      <x:c r="W70" s="28" t="n">
        <x:f>E70/G70</x:f>
        <x:v>0.03329506314580941</x:v>
      </x:c>
      <x:c r="X70" s="28" t="n">
        <x:f>M70/O70</x:f>
        <x:v>0.0840036563071298</x:v>
      </x:c>
      <x:c r="Y70" s="30" t="n">
        <x:f>(X70-W70)*100</x:f>
        <x:v>5.070859316132039</x:v>
      </x:c>
      <x:c r="Z70" s="32" t="n">
        <x:f>K70-C70</x:f>
        <x:v>-1313</x:v>
      </x:c>
      <x:c r="AA70" s="32" t="n">
        <x:f>P70-H70</x:f>
        <x:v>-1257</x:v>
      </x:c>
      <x:c r="AB70" s="28" t="n">
        <x:f>P70/H70-1</x:f>
        <x:v>-0.10288941638700166</x:v>
      </x:c>
      <x:c r="AC70" t="str">
        <x:f>IF(C70=MAX(C70:F70),"NDP",IF(D70=MAX(C70:F70),"Conservative",IF(E70=MAX(C70:F70),"Green","Other")))</x:f>
        <x:v>Conservative</x:v>
      </x:c>
      <x:c r="AD70" t="str">
        <x:f>IF(K70=MAX(K70:N70),"NDP",IF(L70=MAX(K70:N70),"Conservative",IF(M70=MAX(K70:N70),"Green","Other")))</x:f>
        <x:v>Conservative</x:v>
      </x:c>
      <x:c r="AE70" t="str">
        <x:f>IF(AC70=AD70,"No","Yes")</x:f>
        <x:v>No</x:v>
      </x:c>
      <x:c r="AF70" s="32" t="n">
        <x:f>LARGE(K70:N70,1)-LARGE(K70:N70,2)</x:f>
        <x:v>1528</x:v>
      </x:c>
      <x:c r="AG70" s="32" t="n">
        <x:f>P70-O70</x:f>
        <x:v>20</x:v>
      </x:c>
      <x:c r="AH70" t="str">
        <x:v>—</x:v>
      </x:c>
      <x:c r="AI70" t="str">
        <x:v>https://elections.bc.ca/docs/rpt/statement-of-votes-2024-provincial-election.pdf</x:v>
      </x:c>
      <x:c r="AJ70" t="str">
        <x:v>https://results.elections.bc.ca/</x:v>
      </x:c>
    </x:row>
    <x:row r="71" ht="19" customHeight="1">
      <x:c r="A71" t="str">
        <x:v>Surrey City Centre</x:v>
      </x:c>
      <x:c r="B71" t="str">
        <x:v>Surrey</x:v>
      </x:c>
      <x:c r="C71" s="32" t="n">
        <x:v>6726</x:v>
      </x:c>
      <x:c r="D71" s="32" t="n">
        <x:v>6494</x:v>
      </x:c>
      <x:c r="E71" s="32" t="n">
        <x:v>877</x:v>
      </x:c>
      <x:c r="F71" s="32" t="n">
        <x:v>307</x:v>
      </x:c>
      <x:c r="G71" s="32" t="n">
        <x:v>14404</x:v>
      </x:c>
      <x:c r="H71" s="32" t="n">
        <x:v>14430</x:v>
      </x:c>
      <x:c r="I71" s="32" t="n">
        <x:v>32195</x:v>
      </x:c>
      <x:c r="J71" s="28" t="n">
        <x:f>H71/I71</x:f>
        <x:v>0.4482062432054667</x:v>
      </x:c>
      <x:c r="K71" s="32" t="n">
        <x:v>5318</x:v>
      </x:c>
      <x:c r="L71" s="32" t="n">
        <x:v>5713</x:v>
      </x:c>
      <x:c r="M71" s="32" t="n">
        <x:v>0</x:v>
      </x:c>
      <x:c r="N71" s="32" t="n">
        <x:v>1001</x:v>
      </x:c>
      <x:c r="O71" s="32" t="n">
        <x:v>12032</x:v>
      </x:c>
      <x:c r="P71" s="32" t="n">
        <x:v>12067</x:v>
      </x:c>
      <x:c r="Q71" s="28" t="n">
        <x:f>C71/G71</x:f>
        <x:v>0.4669536239933352</x:v>
      </x:c>
      <x:c r="R71" s="28" t="n">
        <x:f>K71/O71</x:f>
        <x:v>0.4419880319148936</x:v>
      </x:c>
      <x:c r="S71" s="30" t="n">
        <x:f>(R71-Q71)*100</x:f>
        <x:v>-2.4965592078441565</x:v>
      </x:c>
      <x:c r="T71" s="28" t="n">
        <x:f>D71/G71</x:f>
        <x:v>0.45084698694806996</x:v>
      </x:c>
      <x:c r="U71" s="28" t="n">
        <x:f>L71/O71</x:f>
        <x:v>0.4748171542553192</x:v>
      </x:c>
      <x:c r="V71" s="30" t="n">
        <x:f>(U71-T71)*100</x:f>
        <x:v>2.3970167307249213</x:v>
      </x:c>
      <x:c r="W71" s="28" t="n">
        <x:f>E71/G71</x:f>
        <x:v>0.060885865037489585</x:v>
      </x:c>
      <x:c r="X71" s="28" t="n">
        <x:f>M71/O71</x:f>
        <x:v>0</x:v>
      </x:c>
      <x:c r="Y71" s="30" t="n">
        <x:f>(X71-W71)*100</x:f>
        <x:v>-6.088586503748958</x:v>
      </x:c>
      <x:c r="Z71" s="32" t="n">
        <x:f>K71-C71</x:f>
        <x:v>-1408</x:v>
      </x:c>
      <x:c r="AA71" s="32" t="n">
        <x:f>P71-H71</x:f>
        <x:v>-2363</x:v>
      </x:c>
      <x:c r="AB71" s="28" t="n">
        <x:f>P71/H71-1</x:f>
        <x:v>-0.16375606375606377</x:v>
      </x:c>
      <x:c r="AC71" t="str">
        <x:f>IF(C71=MAX(C71:F71),"NDP",IF(D71=MAX(C71:F71),"Conservative",IF(E71=MAX(C71:F71),"Green","Other")))</x:f>
        <x:v>NDP</x:v>
      </x:c>
      <x:c r="AD71" t="str">
        <x:f>IF(K71=MAX(K71:N71),"NDP",IF(L71=MAX(K71:N71),"Conservative",IF(M71=MAX(K71:N71),"Green","Other")))</x:f>
        <x:v>Conservative</x:v>
      </x:c>
      <x:c r="AE71" t="str">
        <x:f>IF(AC71=AD71,"No","Yes")</x:f>
        <x:v>Yes</x:v>
      </x:c>
      <x:c r="AF71" s="32" t="n">
        <x:f>LARGE(K71:N71,1)-LARGE(K71:N71,2)</x:f>
        <x:v>395</x:v>
      </x:c>
      <x:c r="AG71" s="32" t="n">
        <x:f>P71-O71</x:f>
        <x:v>35</x:v>
      </x:c>
      <x:c r="AH71" t="str">
        <x:v>Green absent 2026; Close result &lt;=500 votes</x:v>
      </x:c>
      <x:c r="AI71" t="str">
        <x:v>https://elections.bc.ca/docs/rpt/statement-of-votes-2024-provincial-election.pdf</x:v>
      </x:c>
      <x:c r="AJ71" t="str">
        <x:v>https://results.elections.bc.ca/</x:v>
      </x:c>
    </x:row>
    <x:row r="72" ht="19" customHeight="1">
      <x:c r="A72" t="str">
        <x:v>Surrey-Cloverdale</x:v>
      </x:c>
      <x:c r="B72" t="str">
        <x:v>Surrey</x:v>
      </x:c>
      <x:c r="C72" s="32" t="n">
        <x:v>9682</x:v>
      </x:c>
      <x:c r="D72" s="32" t="n">
        <x:v>10268</x:v>
      </x:c>
      <x:c r="E72" s="32" t="n">
        <x:v>1150</x:v>
      </x:c>
      <x:c r="F72" s="32" t="n">
        <x:v>153</x:v>
      </x:c>
      <x:c r="G72" s="32" t="n">
        <x:v>21253</x:v>
      </x:c>
      <x:c r="H72" s="32" t="n">
        <x:v>21269</x:v>
      </x:c>
      <x:c r="I72" s="32" t="n">
        <x:v>38069</x:v>
      </x:c>
      <x:c r="J72" s="28" t="n">
        <x:f>H72/I72</x:f>
        <x:v>0.5586960519057501</x:v>
      </x:c>
      <x:c r="K72" s="32" t="n">
        <x:v>5846</x:v>
      </x:c>
      <x:c r="L72" s="32" t="n">
        <x:v>9151</x:v>
      </x:c>
      <x:c r="M72" s="32" t="n">
        <x:v>1314</x:v>
      </x:c>
      <x:c r="N72" s="32" t="n">
        <x:v>1129</x:v>
      </x:c>
      <x:c r="O72" s="32" t="n">
        <x:v>17440</x:v>
      </x:c>
      <x:c r="P72" s="32" t="n">
        <x:v>17455</x:v>
      </x:c>
      <x:c r="Q72" s="28" t="n">
        <x:f>C72/G72</x:f>
        <x:v>0.4555592151696231</x:v>
      </x:c>
      <x:c r="R72" s="28" t="n">
        <x:f>K72/O72</x:f>
        <x:v>0.3352064220183486</x:v>
      </x:c>
      <x:c r="S72" s="30" t="n">
        <x:f>(R72-Q72)*100</x:f>
        <x:v>-12.03527931512745</x:v>
      </x:c>
      <x:c r="T72" s="28" t="n">
        <x:f>D72/G72</x:f>
        <x:v>0.4831317931586129</x:v>
      </x:c>
      <x:c r="U72" s="28" t="n">
        <x:f>L72/O72</x:f>
        <x:v>0.5247133027522936</x:v>
      </x:c>
      <x:c r="V72" s="30" t="n">
        <x:f>(U72-T72)*100</x:f>
        <x:v>4.158150959368068</x:v>
      </x:c>
      <x:c r="W72" s="28" t="n">
        <x:f>E72/G72</x:f>
        <x:v>0.054110007998870745</x:v>
      </x:c>
      <x:c r="X72" s="28" t="n">
        <x:f>M72/O72</x:f>
        <x:v>0.07534403669724771</x:v>
      </x:c>
      <x:c r="Y72" s="30" t="n">
        <x:f>(X72-W72)*100</x:f>
        <x:v>2.123402869837696</x:v>
      </x:c>
      <x:c r="Z72" s="32" t="n">
        <x:f>K72-C72</x:f>
        <x:v>-3836</x:v>
      </x:c>
      <x:c r="AA72" s="32" t="n">
        <x:f>P72-H72</x:f>
        <x:v>-3814</x:v>
      </x:c>
      <x:c r="AB72" s="28" t="n">
        <x:f>P72/H72-1</x:f>
        <x:v>-0.17932201796041192</x:v>
      </x:c>
      <x:c r="AC72" t="str">
        <x:f>IF(C72=MAX(C72:F72),"NDP",IF(D72=MAX(C72:F72),"Conservative",IF(E72=MAX(C72:F72),"Green","Other")))</x:f>
        <x:v>Conservative</x:v>
      </x:c>
      <x:c r="AD72" t="str">
        <x:f>IF(K72=MAX(K72:N72),"NDP",IF(L72=MAX(K72:N72),"Conservative",IF(M72=MAX(K72:N72),"Green","Other")))</x:f>
        <x:v>Conservative</x:v>
      </x:c>
      <x:c r="AE72" t="str">
        <x:f>IF(AC72=AD72,"No","Yes")</x:f>
        <x:v>No</x:v>
      </x:c>
      <x:c r="AF72" s="32" t="n">
        <x:f>LARGE(K72:N72,1)-LARGE(K72:N72,2)</x:f>
        <x:v>3305</x:v>
      </x:c>
      <x:c r="AG72" s="32" t="n">
        <x:f>P72-O72</x:f>
        <x:v>15</x:v>
      </x:c>
      <x:c r="AH72" t="str">
        <x:v>—</x:v>
      </x:c>
      <x:c r="AI72" t="str">
        <x:v>https://elections.bc.ca/docs/rpt/statement-of-votes-2024-provincial-election.pdf</x:v>
      </x:c>
      <x:c r="AJ72" t="str">
        <x:v>https://results.elections.bc.ca/</x:v>
      </x:c>
    </x:row>
    <x:row r="73" ht="19" customHeight="1">
      <x:c r="A73" t="str">
        <x:v>Surrey-Fleetwood</x:v>
      </x:c>
      <x:c r="B73" t="str">
        <x:v>Surrey</x:v>
      </x:c>
      <x:c r="C73" s="32" t="n">
        <x:v>9923</x:v>
      </x:c>
      <x:c r="D73" s="32" t="n">
        <x:v>9170</x:v>
      </x:c>
      <x:c r="E73" s="32" t="n">
        <x:v>1321</x:v>
      </x:c>
      <x:c r="F73" s="32" t="n">
        <x:v>0</x:v>
      </x:c>
      <x:c r="G73" s="32" t="n">
        <x:v>20414</x:v>
      </x:c>
      <x:c r="H73" s="32" t="n">
        <x:v>20440</x:v>
      </x:c>
      <x:c r="I73" s="32" t="n">
        <x:v>37753</x:v>
      </x:c>
      <x:c r="J73" s="28" t="n">
        <x:f>H73/I73</x:f>
        <x:v>0.5414139273700104</x:v>
      </x:c>
      <x:c r="K73" s="32" t="n">
        <x:v>6522</x:v>
      </x:c>
      <x:c r="L73" s="32" t="n">
        <x:v>8691</x:v>
      </x:c>
      <x:c r="M73" s="32" t="n">
        <x:v>1030</x:v>
      </x:c>
      <x:c r="N73" s="32" t="n">
        <x:v>893</x:v>
      </x:c>
      <x:c r="O73" s="32" t="n">
        <x:v>17136</x:v>
      </x:c>
      <x:c r="P73" s="32" t="n">
        <x:v>17162</x:v>
      </x:c>
      <x:c r="Q73" s="28" t="n">
        <x:f>C73/G73</x:f>
        <x:v>0.4860879788380523</x:v>
      </x:c>
      <x:c r="R73" s="28" t="n">
        <x:f>K73/O73</x:f>
        <x:v>0.3806022408963585</x:v>
      </x:c>
      <x:c r="S73" s="30" t="n">
        <x:f>(R73-Q73)*100</x:f>
        <x:v>-10.54857379416938</x:v>
      </x:c>
      <x:c r="T73" s="28" t="n">
        <x:f>D73/G73</x:f>
        <x:v>0.44920152836288824</x:v>
      </x:c>
      <x:c r="U73" s="28" t="n">
        <x:f>L73/O73</x:f>
        <x:v>0.5071778711484594</x:v>
      </x:c>
      <x:c r="V73" s="30" t="n">
        <x:f>(U73-T73)*100</x:f>
        <x:v>5.797634278557112</x:v>
      </x:c>
      <x:c r="W73" s="28" t="n">
        <x:f>E73/G73</x:f>
        <x:v>0.06471049279905947</x:v>
      </x:c>
      <x:c r="X73" s="28" t="n">
        <x:f>M73/O73</x:f>
        <x:v>0.060107376283846874</x:v>
      </x:c>
      <x:c r="Y73" s="30" t="n">
        <x:f>(X73-W73)*100</x:f>
        <x:v>-0.4603116515212592</x:v>
      </x:c>
      <x:c r="Z73" s="32" t="n">
        <x:f>K73-C73</x:f>
        <x:v>-3401</x:v>
      </x:c>
      <x:c r="AA73" s="32" t="n">
        <x:f>P73-H73</x:f>
        <x:v>-3278</x:v>
      </x:c>
      <x:c r="AB73" s="28" t="n">
        <x:f>P73/H73-1</x:f>
        <x:v>-0.16037181996086103</x:v>
      </x:c>
      <x:c r="AC73" t="str">
        <x:f>IF(C73=MAX(C73:F73),"NDP",IF(D73=MAX(C73:F73),"Conservative",IF(E73=MAX(C73:F73),"Green","Other")))</x:f>
        <x:v>NDP</x:v>
      </x:c>
      <x:c r="AD73" t="str">
        <x:f>IF(K73=MAX(K73:N73),"NDP",IF(L73=MAX(K73:N73),"Conservative",IF(M73=MAX(K73:N73),"Green","Other")))</x:f>
        <x:v>Conservative</x:v>
      </x:c>
      <x:c r="AE73" t="str">
        <x:f>IF(AC73=AD73,"No","Yes")</x:f>
        <x:v>Yes</x:v>
      </x:c>
      <x:c r="AF73" s="32" t="n">
        <x:f>LARGE(K73:N73,1)-LARGE(K73:N73,2)</x:f>
        <x:v>2169</x:v>
      </x:c>
      <x:c r="AG73" s="32" t="n">
        <x:f>P73-O73</x:f>
        <x:v>26</x:v>
      </x:c>
      <x:c r="AH73" t="str">
        <x:v>—</x:v>
      </x:c>
      <x:c r="AI73" t="str">
        <x:v>https://elections.bc.ca/docs/rpt/statement-of-votes-2024-provincial-election.pdf</x:v>
      </x:c>
      <x:c r="AJ73" t="str">
        <x:v>https://results.elections.bc.ca/</x:v>
      </x:c>
    </x:row>
    <x:row r="74" ht="19" customHeight="1">
      <x:c r="A74" t="str">
        <x:v>Surrey-Guildford</x:v>
      </x:c>
      <x:c r="B74" t="str">
        <x:v>Surrey</x:v>
      </x:c>
      <x:c r="C74" s="32" t="n">
        <x:v>8947</x:v>
      </x:c>
      <x:c r="D74" s="32" t="n">
        <x:v>8925</x:v>
      </x:c>
      <x:c r="E74" s="32" t="n">
        <x:v>824</x:v>
      </x:c>
      <x:c r="F74" s="32" t="n">
        <x:v>370</x:v>
      </x:c>
      <x:c r="G74" s="32" t="n">
        <x:v>19066</x:v>
      </x:c>
      <x:c r="H74" s="32" t="n">
        <x:v>19090</x:v>
      </x:c>
      <x:c r="I74" s="32" t="n">
        <x:v>37612</x:v>
      </x:c>
      <x:c r="J74" s="28" t="n">
        <x:f>H74/I74</x:f>
        <x:v>0.5075507816654259</x:v>
      </x:c>
      <x:c r="K74" s="32" t="n">
        <x:v>6269</x:v>
      </x:c>
      <x:c r="L74" s="32" t="n">
        <x:v>7741</x:v>
      </x:c>
      <x:c r="M74" s="32" t="n">
        <x:v>964</x:v>
      </x:c>
      <x:c r="N74" s="32" t="n">
        <x:v>307</x:v>
      </x:c>
      <x:c r="O74" s="32" t="n">
        <x:v>15281</x:v>
      </x:c>
      <x:c r="P74" s="32" t="n">
        <x:v>15315</x:v>
      </x:c>
      <x:c r="Q74" s="28" t="n">
        <x:f>C74/G74</x:f>
        <x:v>0.4692646596034826</x:v>
      </x:c>
      <x:c r="R74" s="28" t="n">
        <x:f>K74/O74</x:f>
        <x:v>0.41024802041751196</x:v>
      </x:c>
      <x:c r="S74" s="30" t="n">
        <x:f>(R74-Q74)*100</x:f>
        <x:v>-5.901663918597066</x:v>
      </x:c>
      <x:c r="T74" s="28" t="n">
        <x:f>D74/G74</x:f>
        <x:v>0.46811077310395466</x:v>
      </x:c>
      <x:c r="U74" s="28" t="n">
        <x:f>L74/O74</x:f>
        <x:v>0.5065767947123879</x:v>
      </x:c>
      <x:c r="V74" s="30" t="n">
        <x:f>(U74-T74)*100</x:f>
        <x:v>3.8466021608433265</x:v>
      </x:c>
      <x:c r="W74" s="28" t="n">
        <x:f>E74/G74</x:f>
        <x:v>0.04321829434595615</x:v>
      </x:c>
      <x:c r="X74" s="28" t="n">
        <x:f>M74/O74</x:f>
        <x:v>0.06308487664419868</x:v>
      </x:c>
      <x:c r="Y74" s="30" t="n">
        <x:f>(X74-W74)*100</x:f>
        <x:v>1.9866582298242528</x:v>
      </x:c>
      <x:c r="Z74" s="32" t="n">
        <x:f>K74-C74</x:f>
        <x:v>-2678</x:v>
      </x:c>
      <x:c r="AA74" s="32" t="n">
        <x:f>P74-H74</x:f>
        <x:v>-3775</x:v>
      </x:c>
      <x:c r="AB74" s="28" t="n">
        <x:f>P74/H74-1</x:f>
        <x:v>-0.1977475117862756</x:v>
      </x:c>
      <x:c r="AC74" t="str">
        <x:f>IF(C74=MAX(C74:F74),"NDP",IF(D74=MAX(C74:F74),"Conservative",IF(E74=MAX(C74:F74),"Green","Other")))</x:f>
        <x:v>NDP</x:v>
      </x:c>
      <x:c r="AD74" t="str">
        <x:f>IF(K74=MAX(K74:N74),"NDP",IF(L74=MAX(K74:N74),"Conservative",IF(M74=MAX(K74:N74),"Green","Other")))</x:f>
        <x:v>Conservative</x:v>
      </x:c>
      <x:c r="AE74" t="str">
        <x:f>IF(AC74=AD74,"No","Yes")</x:f>
        <x:v>Yes</x:v>
      </x:c>
      <x:c r="AF74" s="32" t="n">
        <x:f>LARGE(K74:N74,1)-LARGE(K74:N74,2)</x:f>
        <x:v>1472</x:v>
      </x:c>
      <x:c r="AG74" s="32" t="n">
        <x:f>P74-O74</x:f>
        <x:v>34</x:v>
      </x:c>
      <x:c r="AH74" t="str">
        <x:v>—</x:v>
      </x:c>
      <x:c r="AI74" t="str">
        <x:v>https://elections.bc.ca/docs/rpt/statement-of-votes-2024-provincial-election.pdf</x:v>
      </x:c>
      <x:c r="AJ74" t="str">
        <x:v>https://results.elections.bc.ca/</x:v>
      </x:c>
    </x:row>
    <x:row r="75" ht="19" customHeight="1">
      <x:c r="A75" t="str">
        <x:v>Surrey-Newton</x:v>
      </x:c>
      <x:c r="B75" t="str">
        <x:v>Surrey</x:v>
      </x:c>
      <x:c r="C75" s="32" t="n">
        <x:v>7924</x:v>
      </x:c>
      <x:c r="D75" s="32" t="n">
        <x:v>6658</x:v>
      </x:c>
      <x:c r="E75" s="32" t="n">
        <x:v>0</x:v>
      </x:c>
      <x:c r="F75" s="32" t="n">
        <x:v>904</x:v>
      </x:c>
      <x:c r="G75" s="32" t="n">
        <x:v>15486</x:v>
      </x:c>
      <x:c r="H75" s="32" t="n">
        <x:v>15522</x:v>
      </x:c>
      <x:c r="I75" s="32" t="n">
        <x:v>30549</x:v>
      </x:c>
      <x:c r="J75" s="28" t="n">
        <x:f>H75/I75</x:f>
        <x:v>0.5081017381911028</x:v>
      </x:c>
      <x:c r="K75" s="32" t="n">
        <x:v>5476</x:v>
      </x:c>
      <x:c r="L75" s="32" t="n">
        <x:v>7334</x:v>
      </x:c>
      <x:c r="M75" s="32" t="n">
        <x:v>0</x:v>
      </x:c>
      <x:c r="N75" s="32" t="n">
        <x:v>645</x:v>
      </x:c>
      <x:c r="O75" s="32" t="n">
        <x:v>13455</x:v>
      </x:c>
      <x:c r="P75" s="32" t="n">
        <x:v>13498</x:v>
      </x:c>
      <x:c r="Q75" s="28" t="n">
        <x:f>C75/G75</x:f>
        <x:v>0.5116879762366008</x:v>
      </x:c>
      <x:c r="R75" s="28" t="n">
        <x:f>K75/O75</x:f>
        <x:v>0.4069862504645113</x:v>
      </x:c>
      <x:c r="S75" s="30" t="n">
        <x:f>(R75-Q75)*100</x:f>
        <x:v>-10.470172577208947</x:v>
      </x:c>
      <x:c r="T75" s="28" t="n">
        <x:f>D75/G75</x:f>
        <x:v>0.42993671703474107</x:v>
      </x:c>
      <x:c r="U75" s="28" t="n">
        <x:f>L75/O75</x:f>
        <x:v>0.5450761798587885</x:v>
      </x:c>
      <x:c r="V75" s="30" t="n">
        <x:f>(U75-T75)*100</x:f>
        <x:v>11.513946282404747</x:v>
      </x:c>
      <x:c r="W75" s="28" t="n">
        <x:f>E75/G75</x:f>
        <x:v>0</x:v>
      </x:c>
      <x:c r="X75" s="28" t="n">
        <x:f>M75/O75</x:f>
        <x:v>0</x:v>
      </x:c>
      <x:c r="Y75" s="30" t="n">
        <x:f>(X75-W75)*100</x:f>
        <x:v>0</x:v>
      </x:c>
      <x:c r="Z75" s="32" t="n">
        <x:f>K75-C75</x:f>
        <x:v>-2448</x:v>
      </x:c>
      <x:c r="AA75" s="32" t="n">
        <x:f>P75-H75</x:f>
        <x:v>-2024</x:v>
      </x:c>
      <x:c r="AB75" s="28" t="n">
        <x:f>P75/H75-1</x:f>
        <x:v>-0.13039556758149728</x:v>
      </x:c>
      <x:c r="AC75" t="str">
        <x:f>IF(C75=MAX(C75:F75),"NDP",IF(D75=MAX(C75:F75),"Conservative",IF(E75=MAX(C75:F75),"Green","Other")))</x:f>
        <x:v>NDP</x:v>
      </x:c>
      <x:c r="AD75" t="str">
        <x:f>IF(K75=MAX(K75:N75),"NDP",IF(L75=MAX(K75:N75),"Conservative",IF(M75=MAX(K75:N75),"Green","Other")))</x:f>
        <x:v>Conservative</x:v>
      </x:c>
      <x:c r="AE75" t="str">
        <x:f>IF(AC75=AD75,"No","Yes")</x:f>
        <x:v>Yes</x:v>
      </x:c>
      <x:c r="AF75" s="32" t="n">
        <x:f>LARGE(K75:N75,1)-LARGE(K75:N75,2)</x:f>
        <x:v>1858</x:v>
      </x:c>
      <x:c r="AG75" s="32" t="n">
        <x:f>P75-O75</x:f>
        <x:v>43</x:v>
      </x:c>
      <x:c r="AH75" t="str">
        <x:v>—</x:v>
      </x:c>
      <x:c r="AI75" t="str">
        <x:v>https://elections.bc.ca/docs/rpt/statement-of-votes-2024-provincial-election.pdf</x:v>
      </x:c>
      <x:c r="AJ75" t="str">
        <x:v>https://results.elections.bc.ca/</x:v>
      </x:c>
    </x:row>
    <x:row r="76" ht="19" customHeight="1">
      <x:c r="A76" t="str">
        <x:v>Surrey North</x:v>
      </x:c>
      <x:c r="B76" t="str">
        <x:v>Surrey</x:v>
      </x:c>
      <x:c r="C76" s="32" t="n">
        <x:v>6795</x:v>
      </x:c>
      <x:c r="D76" s="32" t="n">
        <x:v>7954</x:v>
      </x:c>
      <x:c r="E76" s="32" t="n">
        <x:v>662</x:v>
      </x:c>
      <x:c r="F76" s="32" t="n">
        <x:v>287</x:v>
      </x:c>
      <x:c r="G76" s="32" t="n">
        <x:v>15698</x:v>
      </x:c>
      <x:c r="H76" s="32" t="n">
        <x:v>15731</x:v>
      </x:c>
      <x:c r="I76" s="32" t="n">
        <x:v>31511</x:v>
      </x:c>
      <x:c r="J76" s="28" t="n">
        <x:f>H76/I76</x:f>
        <x:v>0.49922249373234745</x:v>
      </x:c>
      <x:c r="K76" s="32" t="n">
        <x:v>4280</x:v>
      </x:c>
      <x:c r="L76" s="32" t="n">
        <x:v>7535</x:v>
      </x:c>
      <x:c r="M76" s="32" t="n">
        <x:v>574</x:v>
      </x:c>
      <x:c r="N76" s="32" t="n">
        <x:v>624</x:v>
      </x:c>
      <x:c r="O76" s="32" t="n">
        <x:v>13013</x:v>
      </x:c>
      <x:c r="P76" s="32" t="n">
        <x:v>13064</x:v>
      </x:c>
      <x:c r="Q76" s="28" t="n">
        <x:f>C76/G76</x:f>
        <x:v>0.43285768887756404</x:v>
      </x:c>
      <x:c r="R76" s="28" t="n">
        <x:f>K76/O76</x:f>
        <x:v>0.3289018673634058</x:v>
      </x:c>
      <x:c r="S76" s="30" t="n">
        <x:f>(R76-Q76)*100</x:f>
        <x:v>-10.395582151415821</x:v>
      </x:c>
      <x:c r="T76" s="28" t="n">
        <x:f>D76/G76</x:f>
        <x:v>0.506688750159256</x:v>
      </x:c>
      <x:c r="U76" s="28" t="n">
        <x:f>L76/O76</x:f>
        <x:v>0.5790363482671175</x:v>
      </x:c>
      <x:c r="V76" s="30" t="n">
        <x:f>(U76-T76)*100</x:f>
        <x:v>7.2347598107861515</x:v>
      </x:c>
      <x:c r="W76" s="28" t="n">
        <x:f>E76/G76</x:f>
        <x:v>0.04217097719454708</x:v>
      </x:c>
      <x:c r="X76" s="28" t="n">
        <x:f>M76/O76</x:f>
        <x:v>0.04410973641742873</x:v>
      </x:c>
      <x:c r="Y76" s="30" t="n">
        <x:f>(X76-W76)*100</x:f>
        <x:v>0.1938759222881649</x:v>
      </x:c>
      <x:c r="Z76" s="32" t="n">
        <x:f>K76-C76</x:f>
        <x:v>-2515</x:v>
      </x:c>
      <x:c r="AA76" s="32" t="n">
        <x:f>P76-H76</x:f>
        <x:v>-2667</x:v>
      </x:c>
      <x:c r="AB76" s="28" t="n">
        <x:f>P76/H76-1</x:f>
        <x:v>-0.16953785519038844</x:v>
      </x:c>
      <x:c r="AC76" t="str">
        <x:f>IF(C76=MAX(C76:F76),"NDP",IF(D76=MAX(C76:F76),"Conservative",IF(E76=MAX(C76:F76),"Green","Other")))</x:f>
        <x:v>Conservative</x:v>
      </x:c>
      <x:c r="AD76" t="str">
        <x:f>IF(K76=MAX(K76:N76),"NDP",IF(L76=MAX(K76:N76),"Conservative",IF(M76=MAX(K76:N76),"Green","Other")))</x:f>
        <x:v>Conservative</x:v>
      </x:c>
      <x:c r="AE76" t="str">
        <x:f>IF(AC76=AD76,"No","Yes")</x:f>
        <x:v>No</x:v>
      </x:c>
      <x:c r="AF76" s="32" t="n">
        <x:f>LARGE(K76:N76,1)-LARGE(K76:N76,2)</x:f>
        <x:v>3255</x:v>
      </x:c>
      <x:c r="AG76" s="32" t="n">
        <x:f>P76-O76</x:f>
        <x:v>51</x:v>
      </x:c>
      <x:c r="AH76" t="str">
        <x:v>—</x:v>
      </x:c>
      <x:c r="AI76" t="str">
        <x:v>https://elections.bc.ca/docs/rpt/statement-of-votes-2024-provincial-election.pdf</x:v>
      </x:c>
      <x:c r="AJ76" t="str">
        <x:v>https://results.elections.bc.ca/</x:v>
      </x:c>
    </x:row>
    <x:row r="77" ht="19" customHeight="1">
      <x:c r="A77" t="str">
        <x:v>Surrey-Panorama</x:v>
      </x:c>
      <x:c r="B77" t="str">
        <x:v>Surrey</x:v>
      </x:c>
      <x:c r="C77" s="32" t="n">
        <x:v>8472</x:v>
      </x:c>
      <x:c r="D77" s="32" t="n">
        <x:v>8735</x:v>
      </x:c>
      <x:c r="E77" s="32" t="n">
        <x:v>0</x:v>
      </x:c>
      <x:c r="F77" s="32" t="n">
        <x:v>404</x:v>
      </x:c>
      <x:c r="G77" s="32" t="n">
        <x:v>17611</x:v>
      </x:c>
      <x:c r="H77" s="32" t="n">
        <x:v>17652</x:v>
      </x:c>
      <x:c r="I77" s="32" t="n">
        <x:v>32742</x:v>
      </x:c>
      <x:c r="J77" s="28" t="n">
        <x:f>H77/I77</x:f>
        <x:v>0.539124060839289</x:v>
      </x:c>
      <x:c r="K77" s="32" t="n">
        <x:v>4899</x:v>
      </x:c>
      <x:c r="L77" s="32" t="n">
        <x:v>8599</x:v>
      </x:c>
      <x:c r="M77" s="32" t="n">
        <x:v>750</x:v>
      </x:c>
      <x:c r="N77" s="32" t="n">
        <x:v>382</x:v>
      </x:c>
      <x:c r="O77" s="32" t="n">
        <x:v>14630</x:v>
      </x:c>
      <x:c r="P77" s="32" t="n">
        <x:v>14645</x:v>
      </x:c>
      <x:c r="Q77" s="28" t="n">
        <x:f>C77/G77</x:f>
        <x:v>0.4810629720061325</x:v>
      </x:c>
      <x:c r="R77" s="28" t="n">
        <x:f>K77/O77</x:f>
        <x:v>0.33485987696514014</x:v>
      </x:c>
      <x:c r="S77" s="30" t="n">
        <x:f>(R77-Q77)*100</x:f>
        <x:v>-14.620309504099238</x:v>
      </x:c>
      <x:c r="T77" s="28" t="n">
        <x:f>D77/G77</x:f>
        <x:v>0.4959968201692124</x:v>
      </x:c>
      <x:c r="U77" s="28" t="n">
        <x:f>L77/O77</x:f>
        <x:v>0.5877648667122352</x:v>
      </x:c>
      <x:c r="V77" s="30" t="n">
        <x:f>(U77-T77)*100</x:f>
        <x:v>9.176804654302273</x:v>
      </x:c>
      <x:c r="W77" s="28" t="n">
        <x:f>E77/G77</x:f>
        <x:v>0</x:v>
      </x:c>
      <x:c r="X77" s="28" t="n">
        <x:f>M77/O77</x:f>
        <x:v>0.05126452494873548</x:v>
      </x:c>
      <x:c r="Y77" s="30" t="n">
        <x:f>(X77-W77)*100</x:f>
        <x:v>5.126452494873548</x:v>
      </x:c>
      <x:c r="Z77" s="32" t="n">
        <x:f>K77-C77</x:f>
        <x:v>-3573</x:v>
      </x:c>
      <x:c r="AA77" s="32" t="n">
        <x:f>P77-H77</x:f>
        <x:v>-3007</x:v>
      </x:c>
      <x:c r="AB77" s="28" t="n">
        <x:f>P77/H77-1</x:f>
        <x:v>-0.17034896895535911</x:v>
      </x:c>
      <x:c r="AC77" t="str">
        <x:f>IF(C77=MAX(C77:F77),"NDP",IF(D77=MAX(C77:F77),"Conservative",IF(E77=MAX(C77:F77),"Green","Other")))</x:f>
        <x:v>Conservative</x:v>
      </x:c>
      <x:c r="AD77" t="str">
        <x:f>IF(K77=MAX(K77:N77),"NDP",IF(L77=MAX(K77:N77),"Conservative",IF(M77=MAX(K77:N77),"Green","Other")))</x:f>
        <x:v>Conservative</x:v>
      </x:c>
      <x:c r="AE77" t="str">
        <x:f>IF(AC77=AD77,"No","Yes")</x:f>
        <x:v>No</x:v>
      </x:c>
      <x:c r="AF77" s="32" t="n">
        <x:f>LARGE(K77:N77,1)-LARGE(K77:N77,2)</x:f>
        <x:v>3700</x:v>
      </x:c>
      <x:c r="AG77" s="32" t="n">
        <x:f>P77-O77</x:f>
        <x:v>15</x:v>
      </x:c>
      <x:c r="AH77" t="str">
        <x:v>Green absent 2024</x:v>
      </x:c>
      <x:c r="AI77" t="str">
        <x:v>https://elections.bc.ca/docs/rpt/statement-of-votes-2024-provincial-election.pdf</x:v>
      </x:c>
      <x:c r="AJ77" t="str">
        <x:v>https://results.elections.bc.ca/</x:v>
      </x:c>
    </x:row>
    <x:row r="78" ht="19" customHeight="1">
      <x:c r="A78" t="str">
        <x:v>Surrey-Serpentine River</x:v>
      </x:c>
      <x:c r="B78" t="str">
        <x:v>Surrey</x:v>
      </x:c>
      <x:c r="C78" s="32" t="n">
        <x:v>9347</x:v>
      </x:c>
      <x:c r="D78" s="32" t="n">
        <x:v>9782</x:v>
      </x:c>
      <x:c r="E78" s="32" t="n">
        <x:v>0</x:v>
      </x:c>
      <x:c r="F78" s="32" t="n">
        <x:v>554</x:v>
      </x:c>
      <x:c r="G78" s="32" t="n">
        <x:v>19683</x:v>
      </x:c>
      <x:c r="H78" s="32" t="n">
        <x:v>19722</x:v>
      </x:c>
      <x:c r="I78" s="32" t="n">
        <x:v>36196</x:v>
      </x:c>
      <x:c r="J78" s="28" t="n">
        <x:f>H78/I78</x:f>
        <x:v>0.5448668361144878</x:v>
      </x:c>
      <x:c r="K78" s="32" t="n">
        <x:v>5679</x:v>
      </x:c>
      <x:c r="L78" s="32" t="n">
        <x:v>10114</x:v>
      </x:c>
      <x:c r="M78" s="32" t="n">
        <x:v>0</x:v>
      </x:c>
      <x:c r="N78" s="32" t="n">
        <x:v>1610</x:v>
      </x:c>
      <x:c r="O78" s="32" t="n">
        <x:v>17403</x:v>
      </x:c>
      <x:c r="P78" s="32" t="n">
        <x:v>17439</x:v>
      </x:c>
      <x:c r="Q78" s="28" t="n">
        <x:f>C78/G78</x:f>
        <x:v>0.4748767972361937</x:v>
      </x:c>
      <x:c r="R78" s="28" t="n">
        <x:f>K78/O78</x:f>
        <x:v>0.32632304775038784</x:v>
      </x:c>
      <x:c r="S78" s="30" t="n">
        <x:f>(R78-Q78)*100</x:f>
        <x:v>-14.855374948580586</x:v>
      </x:c>
      <x:c r="T78" s="28" t="n">
        <x:f>D78/G78</x:f>
        <x:v>0.4969770868261952</x:v>
      </x:c>
      <x:c r="U78" s="28" t="n">
        <x:f>L78/O78</x:f>
        <x:v>0.5811641670976269</x:v>
      </x:c>
      <x:c r="V78" s="30" t="n">
        <x:f>(U78-T78)*100</x:f>
        <x:v>8.418708027143168</x:v>
      </x:c>
      <x:c r="W78" s="28" t="n">
        <x:f>E78/G78</x:f>
        <x:v>0</x:v>
      </x:c>
      <x:c r="X78" s="28" t="n">
        <x:f>M78/O78</x:f>
        <x:v>0</x:v>
      </x:c>
      <x:c r="Y78" s="30" t="n">
        <x:f>(X78-W78)*100</x:f>
        <x:v>0</x:v>
      </x:c>
      <x:c r="Z78" s="32" t="n">
        <x:f>K78-C78</x:f>
        <x:v>-3668</x:v>
      </x:c>
      <x:c r="AA78" s="32" t="n">
        <x:f>P78-H78</x:f>
        <x:v>-2283</x:v>
      </x:c>
      <x:c r="AB78" s="28" t="n">
        <x:f>P78/H78-1</x:f>
        <x:v>-0.1157590508062063</x:v>
      </x:c>
      <x:c r="AC78" t="str">
        <x:f>IF(C78=MAX(C78:F78),"NDP",IF(D78=MAX(C78:F78),"Conservative",IF(E78=MAX(C78:F78),"Green","Other")))</x:f>
        <x:v>Conservative</x:v>
      </x:c>
      <x:c r="AD78" t="str">
        <x:f>IF(K78=MAX(K78:N78),"NDP",IF(L78=MAX(K78:N78),"Conservative",IF(M78=MAX(K78:N78),"Green","Other")))</x:f>
        <x:v>Conservative</x:v>
      </x:c>
      <x:c r="AE78" t="str">
        <x:f>IF(AC78=AD78,"No","Yes")</x:f>
        <x:v>No</x:v>
      </x:c>
      <x:c r="AF78" s="32" t="n">
        <x:f>LARGE(K78:N78,1)-LARGE(K78:N78,2)</x:f>
        <x:v>4435</x:v>
      </x:c>
      <x:c r="AG78" s="32" t="n">
        <x:f>P78-O78</x:f>
        <x:v>36</x:v>
      </x:c>
      <x:c r="AH78" t="str">
        <x:v>—</x:v>
      </x:c>
      <x:c r="AI78" t="str">
        <x:v>https://elections.bc.ca/docs/rpt/statement-of-votes-2024-provincial-election.pdf</x:v>
      </x:c>
      <x:c r="AJ78" t="str">
        <x:v>https://results.elections.bc.ca/</x:v>
      </x:c>
    </x:row>
    <x:row r="79" ht="19" customHeight="1">
      <x:c r="A79" t="str">
        <x:v>Surrey South</x:v>
      </x:c>
      <x:c r="B79" t="str">
        <x:v>Surrey</x:v>
      </x:c>
      <x:c r="C79" s="32" t="n">
        <x:v>9136</x:v>
      </x:c>
      <x:c r="D79" s="32" t="n">
        <x:v>13056</x:v>
      </x:c>
      <x:c r="E79" s="32" t="n">
        <x:v>0</x:v>
      </x:c>
      <x:c r="F79" s="32" t="n">
        <x:v>0</x:v>
      </x:c>
      <x:c r="G79" s="32" t="n">
        <x:v>22192</x:v>
      </x:c>
      <x:c r="H79" s="32" t="n">
        <x:v>22311</x:v>
      </x:c>
      <x:c r="I79" s="32" t="n">
        <x:v>39633</x:v>
      </x:c>
      <x:c r="J79" s="28" t="n">
        <x:f>H79/I79</x:f>
        <x:v>0.562939974263871</x:v>
      </x:c>
      <x:c r="K79" s="32" t="n">
        <x:v>4535</x:v>
      </x:c>
      <x:c r="L79" s="32" t="n">
        <x:v>12557</x:v>
      </x:c>
      <x:c r="M79" s="32" t="n">
        <x:v>1021</x:v>
      </x:c>
      <x:c r="N79" s="32" t="n">
        <x:v>2340</x:v>
      </x:c>
      <x:c r="O79" s="32" t="n">
        <x:v>20453</x:v>
      </x:c>
      <x:c r="P79" s="32" t="n">
        <x:v>20466</x:v>
      </x:c>
      <x:c r="Q79" s="28" t="n">
        <x:f>C79/G79</x:f>
        <x:v>0.4116798846431146</x:v>
      </x:c>
      <x:c r="R79" s="28" t="n">
        <x:f>K79/O79</x:f>
        <x:v>0.22172786388304894</x:v>
      </x:c>
      <x:c r="S79" s="30" t="n">
        <x:f>(R79-Q79)*100</x:f>
        <x:v>-18.995202076006567</x:v>
      </x:c>
      <x:c r="T79" s="28" t="n">
        <x:f>D79/G79</x:f>
        <x:v>0.5883201153568853</x:v>
      </x:c>
      <x:c r="U79" s="28" t="n">
        <x:f>L79/O79</x:f>
        <x:v>0.6139441646702195</x:v>
      </x:c>
      <x:c r="V79" s="30" t="n">
        <x:f>(U79-T79)*100</x:f>
        <x:v>2.5624049313334174</x:v>
      </x:c>
      <x:c r="W79" s="28" t="n">
        <x:f>E79/G79</x:f>
        <x:v>0</x:v>
      </x:c>
      <x:c r="X79" s="28" t="n">
        <x:f>M79/O79</x:f>
        <x:v>0.04991932723805799</x:v>
      </x:c>
      <x:c r="Y79" s="30" t="n">
        <x:f>(X79-W79)*100</x:f>
        <x:v>4.991932723805799</x:v>
      </x:c>
      <x:c r="Z79" s="32" t="n">
        <x:f>K79-C79</x:f>
        <x:v>-4601</x:v>
      </x:c>
      <x:c r="AA79" s="32" t="n">
        <x:f>P79-H79</x:f>
        <x:v>-1845</x:v>
      </x:c>
      <x:c r="AB79" s="28" t="n">
        <x:f>P79/H79-1</x:f>
        <x:v>-0.08269463493344087</x:v>
      </x:c>
      <x:c r="AC79" t="str">
        <x:f>IF(C79=MAX(C79:F79),"NDP",IF(D79=MAX(C79:F79),"Conservative",IF(E79=MAX(C79:F79),"Green","Other")))</x:f>
        <x:v>Conservative</x:v>
      </x:c>
      <x:c r="AD79" t="str">
        <x:f>IF(K79=MAX(K79:N79),"NDP",IF(L79=MAX(K79:N79),"Conservative",IF(M79=MAX(K79:N79),"Green","Other")))</x:f>
        <x:v>Conservative</x:v>
      </x:c>
      <x:c r="AE79" t="str">
        <x:f>IF(AC79=AD79,"No","Yes")</x:f>
        <x:v>No</x:v>
      </x:c>
      <x:c r="AF79" s="32" t="n">
        <x:f>LARGE(K79:N79,1)-LARGE(K79:N79,2)</x:f>
        <x:v>8022</x:v>
      </x:c>
      <x:c r="AG79" s="32" t="n">
        <x:f>P79-O79</x:f>
        <x:v>13</x:v>
      </x:c>
      <x:c r="AH79" t="str">
        <x:v>Green absent 2024</x:v>
      </x:c>
      <x:c r="AI79" t="str">
        <x:v>https://elections.bc.ca/docs/rpt/statement-of-votes-2024-provincial-election.pdf</x:v>
      </x:c>
      <x:c r="AJ79" t="str">
        <x:v>https://results.elections.bc.ca/</x:v>
      </x:c>
    </x:row>
    <x:row r="80" ht="19" customHeight="1">
      <x:c r="A80" t="str">
        <x:v>Surrey-White Rock</x:v>
      </x:c>
      <x:c r="B80" t="str">
        <x:v>Surrey</x:v>
      </x:c>
      <x:c r="C80" s="32" t="n">
        <x:v>12698</x:v>
      </x:c>
      <x:c r="D80" s="32" t="n">
        <x:v>14667</x:v>
      </x:c>
      <x:c r="E80" s="32" t="n">
        <x:v>0</x:v>
      </x:c>
      <x:c r="F80" s="32" t="n">
        <x:v>671</x:v>
      </x:c>
      <x:c r="G80" s="32" t="n">
        <x:v>28036</x:v>
      </x:c>
      <x:c r="H80" s="32" t="n">
        <x:v>28142</x:v>
      </x:c>
      <x:c r="I80" s="32" t="n">
        <x:v>45467</x:v>
      </x:c>
      <x:c r="J80" s="28" t="n">
        <x:f>H80/I80</x:f>
        <x:v>0.618954406492621</x:v>
      </x:c>
      <x:c r="K80" s="32" t="n">
        <x:v>7153</x:v>
      </x:c>
      <x:c r="L80" s="32" t="n">
        <x:v>14386</x:v>
      </x:c>
      <x:c r="M80" s="32" t="n">
        <x:v>1900</x:v>
      </x:c>
      <x:c r="N80" s="32" t="n">
        <x:v>1294</x:v>
      </x:c>
      <x:c r="O80" s="32" t="n">
        <x:v>24733</x:v>
      </x:c>
      <x:c r="P80" s="32" t="n">
        <x:v>24766</x:v>
      </x:c>
      <x:c r="Q80" s="28" t="n">
        <x:f>C80/G80</x:f>
        <x:v>0.45291767727207877</x:v>
      </x:c>
      <x:c r="R80" s="28" t="n">
        <x:f>K80/O80</x:f>
        <x:v>0.2892087494440626</x:v>
      </x:c>
      <x:c r="S80" s="30" t="n">
        <x:f>(R80-Q80)*100</x:f>
        <x:v>-16.370892782801615</x:v>
      </x:c>
      <x:c r="T80" s="28" t="n">
        <x:f>D80/G80</x:f>
        <x:v>0.5231488086745613</x:v>
      </x:c>
      <x:c r="U80" s="28" t="n">
        <x:f>L80/O80</x:f>
        <x:v>0.5816520438280839</x:v>
      </x:c>
      <x:c r="V80" s="30" t="n">
        <x:f>(U80-T80)*100</x:f>
        <x:v>5.850323515352263</x:v>
      </x:c>
      <x:c r="W80" s="28" t="n">
        <x:f>E80/G80</x:f>
        <x:v>0</x:v>
      </x:c>
      <x:c r="X80" s="28" t="n">
        <x:f>M80/O80</x:f>
        <x:v>0.07682044232402054</x:v>
      </x:c>
      <x:c r="Y80" s="30" t="n">
        <x:f>(X80-W80)*100</x:f>
        <x:v>7.6820442324020535</x:v>
      </x:c>
      <x:c r="Z80" s="32" t="n">
        <x:f>K80-C80</x:f>
        <x:v>-5545</x:v>
      </x:c>
      <x:c r="AA80" s="32" t="n">
        <x:f>P80-H80</x:f>
        <x:v>-3376</x:v>
      </x:c>
      <x:c r="AB80" s="28" t="n">
        <x:f>P80/H80-1</x:f>
        <x:v>-0.11996304455973283</x:v>
      </x:c>
      <x:c r="AC80" t="str">
        <x:f>IF(C80=MAX(C80:F80),"NDP",IF(D80=MAX(C80:F80),"Conservative",IF(E80=MAX(C80:F80),"Green","Other")))</x:f>
        <x:v>Conservative</x:v>
      </x:c>
      <x:c r="AD80" t="str">
        <x:f>IF(K80=MAX(K80:N80),"NDP",IF(L80=MAX(K80:N80),"Conservative",IF(M80=MAX(K80:N80),"Green","Other")))</x:f>
        <x:v>Conservative</x:v>
      </x:c>
      <x:c r="AE80" t="str">
        <x:f>IF(AC80=AD80,"No","Yes")</x:f>
        <x:v>No</x:v>
      </x:c>
      <x:c r="AF80" s="32" t="n">
        <x:f>LARGE(K80:N80,1)-LARGE(K80:N80,2)</x:f>
        <x:v>7233</x:v>
      </x:c>
      <x:c r="AG80" s="32" t="n">
        <x:f>P80-O80</x:f>
        <x:v>33</x:v>
      </x:c>
      <x:c r="AH80" t="str">
        <x:v>Green absent 2024</x:v>
      </x:c>
      <x:c r="AI80" t="str">
        <x:v>https://elections.bc.ca/docs/rpt/statement-of-votes-2024-provincial-election.pdf</x:v>
      </x:c>
      <x:c r="AJ80" t="str">
        <x:v>https://results.elections.bc.ca/</x:v>
      </x:c>
    </x:row>
    <x:row r="81" ht="19" customHeight="1">
      <x:c r="A81" t="str">
        <x:v>Vancouver-Fraserview</x:v>
      </x:c>
      <x:c r="B81" t="str">
        <x:v>Vancouver</x:v>
      </x:c>
      <x:c r="C81" s="32" t="n">
        <x:v>11896</x:v>
      </x:c>
      <x:c r="D81" s="32" t="n">
        <x:v>7618</x:v>
      </x:c>
      <x:c r="E81" s="32" t="n">
        <x:v>1290</x:v>
      </x:c>
      <x:c r="F81" s="32" t="n">
        <x:v>0</x:v>
      </x:c>
      <x:c r="G81" s="32" t="n">
        <x:v>20804</x:v>
      </x:c>
      <x:c r="H81" s="32" t="n">
        <x:v>20865</x:v>
      </x:c>
      <x:c r="I81" s="32" t="n">
        <x:v>39801</x:v>
      </x:c>
      <x:c r="J81" s="28" t="n">
        <x:f>H81/I81</x:f>
        <x:v>0.5242330594708675</x:v>
      </x:c>
      <x:c r="K81" s="32" t="n">
        <x:v>6769</x:v>
      </x:c>
      <x:c r="L81" s="32" t="n">
        <x:v>7156</x:v>
      </x:c>
      <x:c r="M81" s="32" t="n">
        <x:v>2302</x:v>
      </x:c>
      <x:c r="N81" s="32" t="n">
        <x:v>0</x:v>
      </x:c>
      <x:c r="O81" s="32" t="n">
        <x:v>16227</x:v>
      </x:c>
      <x:c r="P81" s="32" t="n">
        <x:v>16253</x:v>
      </x:c>
      <x:c r="Q81" s="28" t="n">
        <x:f>C81/G81</x:f>
        <x:v>0.571813112862911</x:v>
      </x:c>
      <x:c r="R81" s="28" t="n">
        <x:f>K81/O81</x:f>
        <x:v>0.4171442657299562</x:v>
      </x:c>
      <x:c r="S81" s="30" t="n">
        <x:f>(R81-Q81)*100</x:f>
        <x:v>-15.466884713295482</x:v>
      </x:c>
      <x:c r="T81" s="28" t="n">
        <x:f>D81/G81</x:f>
        <x:v>0.3661795808498366</x:v>
      </x:c>
      <x:c r="U81" s="28" t="n">
        <x:f>L81/O81</x:f>
        <x:v>0.44099340605164233</x:v>
      </x:c>
      <x:c r="V81" s="30" t="n">
        <x:f>(U81-T81)*100</x:f>
        <x:v>7.481382520180574</x:v>
      </x:c>
      <x:c r="W81" s="28" t="n">
        <x:f>E81/G81</x:f>
        <x:v>0.06200730628725245</x:v>
      </x:c>
      <x:c r="X81" s="28" t="n">
        <x:f>M81/O81</x:f>
        <x:v>0.14186232821840142</x:v>
      </x:c>
      <x:c r="Y81" s="30" t="n">
        <x:f>(X81-W81)*100</x:f>
        <x:v>7.985502193114896</x:v>
      </x:c>
      <x:c r="Z81" s="32" t="n">
        <x:f>K81-C81</x:f>
        <x:v>-5127</x:v>
      </x:c>
      <x:c r="AA81" s="32" t="n">
        <x:f>P81-H81</x:f>
        <x:v>-4612</x:v>
      </x:c>
      <x:c r="AB81" s="28" t="n">
        <x:f>P81/H81-1</x:f>
        <x:v>-0.22104001917086025</x:v>
      </x:c>
      <x:c r="AC81" t="str">
        <x:f>IF(C81=MAX(C81:F81),"NDP",IF(D81=MAX(C81:F81),"Conservative",IF(E81=MAX(C81:F81),"Green","Other")))</x:f>
        <x:v>NDP</x:v>
      </x:c>
      <x:c r="AD81" t="str">
        <x:f>IF(K81=MAX(K81:N81),"NDP",IF(L81=MAX(K81:N81),"Conservative",IF(M81=MAX(K81:N81),"Green","Other")))</x:f>
        <x:v>Conservative</x:v>
      </x:c>
      <x:c r="AE81" t="str">
        <x:f>IF(AC81=AD81,"No","Yes")</x:f>
        <x:v>Yes</x:v>
      </x:c>
      <x:c r="AF81" s="32" t="n">
        <x:f>LARGE(K81:N81,1)-LARGE(K81:N81,2)</x:f>
        <x:v>387</x:v>
      </x:c>
      <x:c r="AG81" s="32" t="n">
        <x:f>P81-O81</x:f>
        <x:v>26</x:v>
      </x:c>
      <x:c r="AH81" t="str">
        <x:v>Close result &lt;=500 votes</x:v>
      </x:c>
      <x:c r="AI81" t="str">
        <x:v>https://elections.bc.ca/docs/rpt/statement-of-votes-2024-provincial-election.pdf</x:v>
      </x:c>
      <x:c r="AJ81" t="str">
        <x:v>https://results.elections.bc.ca/</x:v>
      </x:c>
    </x:row>
    <x:row r="82" ht="19" customHeight="1">
      <x:c r="A82" t="str">
        <x:v>Vancouver-Hastings</x:v>
      </x:c>
      <x:c r="B82" t="str">
        <x:v>Vancouver</x:v>
      </x:c>
      <x:c r="C82" s="32" t="n">
        <x:v>14237</x:v>
      </x:c>
      <x:c r="D82" s="32" t="n">
        <x:v>5391</x:v>
      </x:c>
      <x:c r="E82" s="32" t="n">
        <x:v>2409</x:v>
      </x:c>
      <x:c r="F82" s="32" t="n">
        <x:v>157</x:v>
      </x:c>
      <x:c r="G82" s="32" t="n">
        <x:v>22194</x:v>
      </x:c>
      <x:c r="H82" s="32" t="n">
        <x:v>22246</x:v>
      </x:c>
      <x:c r="I82" s="32" t="n">
        <x:v>41189</x:v>
      </x:c>
      <x:c r="J82" s="28" t="n">
        <x:f>H82/I82</x:f>
        <x:v>0.5400956566073466</x:v>
      </x:c>
      <x:c r="K82" s="32" t="n">
        <x:v>9707</x:v>
      </x:c>
      <x:c r="L82" s="32" t="n">
        <x:v>4795</x:v>
      </x:c>
      <x:c r="M82" s="32" t="n">
        <x:v>3576</x:v>
      </x:c>
      <x:c r="N82" s="32" t="n">
        <x:v>851</x:v>
      </x:c>
      <x:c r="O82" s="32" t="n">
        <x:v>18929</x:v>
      </x:c>
      <x:c r="P82" s="32" t="n">
        <x:v>18973</x:v>
      </x:c>
      <x:c r="Q82" s="28" t="n">
        <x:f>C82/G82</x:f>
        <x:v>0.6414796791925745</x:v>
      </x:c>
      <x:c r="R82" s="28" t="n">
        <x:f>K82/O82</x:f>
        <x:v>0.5128110306936446</x:v>
      </x:c>
      <x:c r="S82" s="30" t="n">
        <x:f>(R82-Q82)*100</x:f>
        <x:v>-12.86686484989299</x:v>
      </x:c>
      <x:c r="T82" s="28" t="n">
        <x:f>D82/G82</x:f>
        <x:v>0.24290348742903486</x:v>
      </x:c>
      <x:c r="U82" s="28" t="n">
        <x:f>L82/O82</x:f>
        <x:v>0.25331501928258227</x:v>
      </x:c>
      <x:c r="V82" s="30" t="n">
        <x:f>(U82-T82)*100</x:f>
        <x:v>1.04115318535474</x:v>
      </x:c>
      <x:c r="W82" s="28" t="n">
        <x:f>E82/G82</x:f>
        <x:v>0.10854284941876183</x:v>
      </x:c>
      <x:c r="X82" s="28" t="n">
        <x:f>M82/O82</x:f>
        <x:v>0.1889164773627767</x:v>
      </x:c>
      <x:c r="Y82" s="30" t="n">
        <x:f>(X82-W82)*100</x:f>
        <x:v>8.037362794401487</x:v>
      </x:c>
      <x:c r="Z82" s="32" t="n">
        <x:f>K82-C82</x:f>
        <x:v>-4530</x:v>
      </x:c>
      <x:c r="AA82" s="32" t="n">
        <x:f>P82-H82</x:f>
        <x:v>-3273</x:v>
      </x:c>
      <x:c r="AB82" s="28" t="n">
        <x:f>P82/H82-1</x:f>
        <x:v>-0.14712757349635885</x:v>
      </x:c>
      <x:c r="AC82" t="str">
        <x:f>IF(C82=MAX(C82:F82),"NDP",IF(D82=MAX(C82:F82),"Conservative",IF(E82=MAX(C82:F82),"Green","Other")))</x:f>
        <x:v>NDP</x:v>
      </x:c>
      <x:c r="AD82" t="str">
        <x:f>IF(K82=MAX(K82:N82),"NDP",IF(L82=MAX(K82:N82),"Conservative",IF(M82=MAX(K82:N82),"Green","Other")))</x:f>
        <x:v>NDP</x:v>
      </x:c>
      <x:c r="AE82" t="str">
        <x:f>IF(AC82=AD82,"No","Yes")</x:f>
        <x:v>No</x:v>
      </x:c>
      <x:c r="AF82" s="32" t="n">
        <x:f>LARGE(K82:N82,1)-LARGE(K82:N82,2)</x:f>
        <x:v>4912</x:v>
      </x:c>
      <x:c r="AG82" s="32" t="n">
        <x:f>P82-O82</x:f>
        <x:v>44</x:v>
      </x:c>
      <x:c r="AH82" t="str">
        <x:v>—</x:v>
      </x:c>
      <x:c r="AI82" t="str">
        <x:v>https://elections.bc.ca/docs/rpt/statement-of-votes-2024-provincial-election.pdf</x:v>
      </x:c>
      <x:c r="AJ82" t="str">
        <x:v>https://results.elections.bc.ca/</x:v>
      </x:c>
    </x:row>
    <x:row r="83" ht="19" customHeight="1">
      <x:c r="A83" t="str">
        <x:v>Vancouver-Kensington</x:v>
      </x:c>
      <x:c r="B83" t="str">
        <x:v>Vancouver</x:v>
      </x:c>
      <x:c r="C83" s="32" t="n">
        <x:v>11713</x:v>
      </x:c>
      <x:c r="D83" s="32" t="n">
        <x:v>6061</x:v>
      </x:c>
      <x:c r="E83" s="32" t="n">
        <x:v>1458</x:v>
      </x:c>
      <x:c r="F83" s="32" t="n">
        <x:v>0</x:v>
      </x:c>
      <x:c r="G83" s="32" t="n">
        <x:v>19232</x:v>
      </x:c>
      <x:c r="H83" s="32" t="n">
        <x:v>19285</x:v>
      </x:c>
      <x:c r="I83" s="32" t="n">
        <x:v>37396</x:v>
      </x:c>
      <x:c r="J83" s="28" t="n">
        <x:f>H83/I83</x:f>
        <x:v>0.5156968659749706</x:v>
      </x:c>
      <x:c r="K83" s="32" t="n">
        <x:v>7278</x:v>
      </x:c>
      <x:c r="L83" s="32" t="n">
        <x:v>5599</x:v>
      </x:c>
      <x:c r="M83" s="32" t="n">
        <x:v>2716</x:v>
      </x:c>
      <x:c r="N83" s="32" t="n">
        <x:v>0</x:v>
      </x:c>
      <x:c r="O83" s="32" t="n">
        <x:v>15593</x:v>
      </x:c>
      <x:c r="P83" s="32" t="n">
        <x:v>15621</x:v>
      </x:c>
      <x:c r="Q83" s="28" t="n">
        <x:f>C83/G83</x:f>
        <x:v>0.6090370216306157</x:v>
      </x:c>
      <x:c r="R83" s="28" t="n">
        <x:f>K83/O83</x:f>
        <x:v>0.4667478996985827</x:v>
      </x:c>
      <x:c r="S83" s="30" t="n">
        <x:f>(R83-Q83)*100</x:f>
        <x:v>-14.228912193203296</x:v>
      </x:c>
      <x:c r="T83" s="28" t="n">
        <x:f>D83/G83</x:f>
        <x:v>0.3151518302828619</x:v>
      </x:c>
      <x:c r="U83" s="28" t="n">
        <x:f>L83/O83</x:f>
        <x:v>0.3590713781825178</x:v>
      </x:c>
      <x:c r="V83" s="30" t="n">
        <x:f>(U83-T83)*100</x:f>
        <x:v>4.3919547899655855</x:v>
      </x:c>
      <x:c r="W83" s="28" t="n">
        <x:f>E83/G83</x:f>
        <x:v>0.07581114808652246</x:v>
      </x:c>
      <x:c r="X83" s="28" t="n">
        <x:f>M83/O83</x:f>
        <x:v>0.1741807221188995</x:v>
      </x:c>
      <x:c r="Y83" s="30" t="n">
        <x:f>(X83-W83)*100</x:f>
        <x:v>9.836957403237705</x:v>
      </x:c>
      <x:c r="Z83" s="32" t="n">
        <x:f>K83-C83</x:f>
        <x:v>-4435</x:v>
      </x:c>
      <x:c r="AA83" s="32" t="n">
        <x:f>P83-H83</x:f>
        <x:v>-3664</x:v>
      </x:c>
      <x:c r="AB83" s="28" t="n">
        <x:f>P83/H83-1</x:f>
        <x:v>-0.18999222193414567</x:v>
      </x:c>
      <x:c r="AC83" t="str">
        <x:f>IF(C83=MAX(C83:F83),"NDP",IF(D83=MAX(C83:F83),"Conservative",IF(E83=MAX(C83:F83),"Green","Other")))</x:f>
        <x:v>NDP</x:v>
      </x:c>
      <x:c r="AD83" t="str">
        <x:f>IF(K83=MAX(K83:N83),"NDP",IF(L83=MAX(K83:N83),"Conservative",IF(M83=MAX(K83:N83),"Green","Other")))</x:f>
        <x:v>NDP</x:v>
      </x:c>
      <x:c r="AE83" t="str">
        <x:f>IF(AC83=AD83,"No","Yes")</x:f>
        <x:v>No</x:v>
      </x:c>
      <x:c r="AF83" s="32" t="n">
        <x:f>LARGE(K83:N83,1)-LARGE(K83:N83,2)</x:f>
        <x:v>1679</x:v>
      </x:c>
      <x:c r="AG83" s="32" t="n">
        <x:f>P83-O83</x:f>
        <x:v>28</x:v>
      </x:c>
      <x:c r="AH83" t="str">
        <x:v>—</x:v>
      </x:c>
      <x:c r="AI83" t="str">
        <x:v>https://elections.bc.ca/docs/rpt/statement-of-votes-2024-provincial-election.pdf</x:v>
      </x:c>
      <x:c r="AJ83" t="str">
        <x:v>https://results.elections.bc.ca/</x:v>
      </x:c>
    </x:row>
    <x:row r="84" ht="19" customHeight="1">
      <x:c r="A84" t="str">
        <x:v>Vancouver-Langara</x:v>
      </x:c>
      <x:c r="B84" t="str">
        <x:v>Vancouver</x:v>
      </x:c>
      <x:c r="C84" s="32" t="n">
        <x:v>8506</x:v>
      </x:c>
      <x:c r="D84" s="32" t="n">
        <x:v>8087</x:v>
      </x:c>
      <x:c r="E84" s="32" t="n">
        <x:v>969</x:v>
      </x:c>
      <x:c r="F84" s="32" t="n">
        <x:v>0</x:v>
      </x:c>
      <x:c r="G84" s="32" t="n">
        <x:v>17562</x:v>
      </x:c>
      <x:c r="H84" s="32" t="n">
        <x:v>17601</x:v>
      </x:c>
      <x:c r="I84" s="32" t="n">
        <x:v>33961</x:v>
      </x:c>
      <x:c r="J84" s="28" t="n">
        <x:f>H84/I84</x:f>
        <x:v>0.5182709578634316</x:v>
      </x:c>
      <x:c r="K84" s="32" t="n">
        <x:v>5544</x:v>
      </x:c>
      <x:c r="L84" s="32" t="n">
        <x:v>7194</x:v>
      </x:c>
      <x:c r="M84" s="32" t="n">
        <x:v>1123</x:v>
      </x:c>
      <x:c r="N84" s="32" t="n">
        <x:v>362</x:v>
      </x:c>
      <x:c r="O84" s="32" t="n">
        <x:v>14223</x:v>
      </x:c>
      <x:c r="P84" s="32" t="n">
        <x:v>14245</x:v>
      </x:c>
      <x:c r="Q84" s="28" t="n">
        <x:f>C84/G84</x:f>
        <x:v>0.4843411912082906</x:v>
      </x:c>
      <x:c r="R84" s="28" t="n">
        <x:f>K84/O84</x:f>
        <x:v>0.38979118329466356</x:v>
      </x:c>
      <x:c r="S84" s="30" t="n">
        <x:f>(R84-Q84)*100</x:f>
        <x:v>-9.455000791362705</x:v>
      </x:c>
      <x:c r="T84" s="28" t="n">
        <x:f>D84/G84</x:f>
        <x:v>0.46048286072201344</x:v>
      </x:c>
      <x:c r="U84" s="28" t="n">
        <x:f>L84/O84</x:f>
        <x:v>0.505800464037123</x:v>
      </x:c>
      <x:c r="V84" s="30" t="n">
        <x:f>(U84-T84)*100</x:f>
        <x:v>4.531760331510953</x:v>
      </x:c>
      <x:c r="W84" s="28" t="n">
        <x:f>E84/G84</x:f>
        <x:v>0.05517594806969593</x:v>
      </x:c>
      <x:c r="X84" s="28" t="n">
        <x:f>M84/O84</x:f>
        <x:v>0.07895661955986782</x:v>
      </x:c>
      <x:c r="Y84" s="30" t="n">
        <x:f>(X84-W84)*100</x:f>
        <x:v>2.3780671490171894</x:v>
      </x:c>
      <x:c r="Z84" s="32" t="n">
        <x:f>K84-C84</x:f>
        <x:v>-2962</x:v>
      </x:c>
      <x:c r="AA84" s="32" t="n">
        <x:f>P84-H84</x:f>
        <x:v>-3356</x:v>
      </x:c>
      <x:c r="AB84" s="28" t="n">
        <x:f>P84/H84-1</x:f>
        <x:v>-0.19067098460314758</x:v>
      </x:c>
      <x:c r="AC84" t="str">
        <x:f>IF(C84=MAX(C84:F84),"NDP",IF(D84=MAX(C84:F84),"Conservative",IF(E84=MAX(C84:F84),"Green","Other")))</x:f>
        <x:v>NDP</x:v>
      </x:c>
      <x:c r="AD84" t="str">
        <x:f>IF(K84=MAX(K84:N84),"NDP",IF(L84=MAX(K84:N84),"Conservative",IF(M84=MAX(K84:N84),"Green","Other")))</x:f>
        <x:v>Conservative</x:v>
      </x:c>
      <x:c r="AE84" t="str">
        <x:f>IF(AC84=AD84,"No","Yes")</x:f>
        <x:v>Yes</x:v>
      </x:c>
      <x:c r="AF84" s="32" t="n">
        <x:f>LARGE(K84:N84,1)-LARGE(K84:N84,2)</x:f>
        <x:v>1650</x:v>
      </x:c>
      <x:c r="AG84" s="32" t="n">
        <x:f>P84-O84</x:f>
        <x:v>22</x:v>
      </x:c>
      <x:c r="AH84" t="str">
        <x:v>—</x:v>
      </x:c>
      <x:c r="AI84" t="str">
        <x:v>https://elections.bc.ca/docs/rpt/statement-of-votes-2024-provincial-election.pdf</x:v>
      </x:c>
      <x:c r="AJ84" t="str">
        <x:v>https://results.elections.bc.ca/</x:v>
      </x:c>
    </x:row>
    <x:row r="85" ht="19" customHeight="1">
      <x:c r="A85" t="str">
        <x:v>Vancouver-Little Mountain</x:v>
      </x:c>
      <x:c r="B85" t="str">
        <x:v>Vancouver</x:v>
      </x:c>
      <x:c r="C85" s="32" t="n">
        <x:v>15636</x:v>
      </x:c>
      <x:c r="D85" s="32" t="n">
        <x:v>7704</x:v>
      </x:c>
      <x:c r="E85" s="32" t="n">
        <x:v>1833</x:v>
      </x:c>
      <x:c r="F85" s="32" t="n">
        <x:v>0</x:v>
      </x:c>
      <x:c r="G85" s="32" t="n">
        <x:v>25173</x:v>
      </x:c>
      <x:c r="H85" s="32" t="n">
        <x:v>25234</x:v>
      </x:c>
      <x:c r="I85" s="32" t="n">
        <x:v>41259</x:v>
      </x:c>
      <x:c r="J85" s="28" t="n">
        <x:f>H85/I85</x:f>
        <x:v>0.611599893356601</x:v>
      </x:c>
      <x:c r="K85" s="32" t="n">
        <x:v>10145</x:v>
      </x:c>
      <x:c r="L85" s="32" t="n">
        <x:v>7075</x:v>
      </x:c>
      <x:c r="M85" s="32" t="n">
        <x:v>3424</x:v>
      </x:c>
      <x:c r="N85" s="32" t="n">
        <x:v>0</x:v>
      </x:c>
      <x:c r="O85" s="32" t="n">
        <x:v>20644</x:v>
      </x:c>
      <x:c r="P85" s="32" t="n">
        <x:v>20688</x:v>
      </x:c>
      <x:c r="Q85" s="28" t="n">
        <x:f>C85/G85</x:f>
        <x:v>0.6211416994398761</x:v>
      </x:c>
      <x:c r="R85" s="28" t="n">
        <x:f>K85/O85</x:f>
        <x:v>0.49142608021701223</x:v>
      </x:c>
      <x:c r="S85" s="30" t="n">
        <x:f>(R85-Q85)*100</x:f>
        <x:v>-12.971561922286384</x:v>
      </x:c>
      <x:c r="T85" s="28" t="n">
        <x:f>D85/G85</x:f>
        <x:v>0.30604218805863426</x:v>
      </x:c>
      <x:c r="U85" s="28" t="n">
        <x:f>L85/O85</x:f>
        <x:v>0.3427145901956985</x:v>
      </x:c>
      <x:c r="V85" s="30" t="n">
        <x:f>(U85-T85)*100</x:f>
        <x:v>3.667240213706424</x:v>
      </x:c>
      <x:c r="W85" s="28" t="n">
        <x:f>E85/G85</x:f>
        <x:v>0.07281611250148969</x:v>
      </x:c>
      <x:c r="X85" s="28" t="n">
        <x:f>M85/O85</x:f>
        <x:v>0.16585932958728927</x:v>
      </x:c>
      <x:c r="Y85" s="30" t="n">
        <x:f>(X85-W85)*100</x:f>
        <x:v>9.304321708579959</x:v>
      </x:c>
      <x:c r="Z85" s="32" t="n">
        <x:f>K85-C85</x:f>
        <x:v>-5491</x:v>
      </x:c>
      <x:c r="AA85" s="32" t="n">
        <x:f>P85-H85</x:f>
        <x:v>-4546</x:v>
      </x:c>
      <x:c r="AB85" s="28" t="n">
        <x:f>P85/H85-1</x:f>
        <x:v>-0.1801537607989221</x:v>
      </x:c>
      <x:c r="AC85" t="str">
        <x:f>IF(C85=MAX(C85:F85),"NDP",IF(D85=MAX(C85:F85),"Conservative",IF(E85=MAX(C85:F85),"Green","Other")))</x:f>
        <x:v>NDP</x:v>
      </x:c>
      <x:c r="AD85" t="str">
        <x:f>IF(K85=MAX(K85:N85),"NDP",IF(L85=MAX(K85:N85),"Conservative",IF(M85=MAX(K85:N85),"Green","Other")))</x:f>
        <x:v>NDP</x:v>
      </x:c>
      <x:c r="AE85" t="str">
        <x:f>IF(AC85=AD85,"No","Yes")</x:f>
        <x:v>No</x:v>
      </x:c>
      <x:c r="AF85" s="32" t="n">
        <x:f>LARGE(K85:N85,1)-LARGE(K85:N85,2)</x:f>
        <x:v>3070</x:v>
      </x:c>
      <x:c r="AG85" s="32" t="n">
        <x:f>P85-O85</x:f>
        <x:v>44</x:v>
      </x:c>
      <x:c r="AH85" t="str">
        <x:v>—</x:v>
      </x:c>
      <x:c r="AI85" t="str">
        <x:v>https://elections.bc.ca/docs/rpt/statement-of-votes-2024-provincial-election.pdf</x:v>
      </x:c>
      <x:c r="AJ85" t="str">
        <x:v>https://results.elections.bc.ca/</x:v>
      </x:c>
    </x:row>
    <x:row r="86" ht="19" customHeight="1">
      <x:c r="A86" t="str">
        <x:v>Vancouver-Point Grey</x:v>
      </x:c>
      <x:c r="B86" t="str">
        <x:v>Vancouver</x:v>
      </x:c>
      <x:c r="C86" s="32" t="n">
        <x:v>12538</x:v>
      </x:c>
      <x:c r="D86" s="32" t="n">
        <x:v>7622</x:v>
      </x:c>
      <x:c r="E86" s="32" t="n">
        <x:v>1925</x:v>
      </x:c>
      <x:c r="F86" s="32" t="n">
        <x:v>0</x:v>
      </x:c>
      <x:c r="G86" s="32" t="n">
        <x:v>22085</x:v>
      </x:c>
      <x:c r="H86" s="32" t="n">
        <x:v>22125</x:v>
      </x:c>
      <x:c r="I86" s="32" t="n">
        <x:v>34880</x:v>
      </x:c>
      <x:c r="J86" s="28" t="n">
        <x:f>H86/I86</x:f>
        <x:v>0.6343176605504587</x:v>
      </x:c>
      <x:c r="K86" s="32" t="n">
        <x:v>7811</x:v>
      </x:c>
      <x:c r="L86" s="32" t="n">
        <x:v>7273</x:v>
      </x:c>
      <x:c r="M86" s="32" t="n">
        <x:v>2448</x:v>
      </x:c>
      <x:c r="N86" s="32" t="n">
        <x:v>647</x:v>
      </x:c>
      <x:c r="O86" s="32" t="n">
        <x:v>18179</x:v>
      </x:c>
      <x:c r="P86" s="32" t="n">
        <x:v>18199</x:v>
      </x:c>
      <x:c r="Q86" s="28" t="n">
        <x:f>C86/G86</x:f>
        <x:v>0.5677156441023319</x:v>
      </x:c>
      <x:c r="R86" s="28" t="n">
        <x:f>K86/O86</x:f>
        <x:v>0.4296715990978602</x:v>
      </x:c>
      <x:c r="S86" s="30" t="n">
        <x:f>(R86-Q86)*100</x:f>
        <x:v>-13.80440450044717</x:v>
      </x:c>
      <x:c r="T86" s="28" t="n">
        <x:f>D86/G86</x:f>
        <x:v>0.3451211229341182</x:v>
      </x:c>
      <x:c r="U86" s="28" t="n">
        <x:f>L86/O86</x:f>
        <x:v>0.4000770119368502</x:v>
      </x:c>
      <x:c r="V86" s="30" t="n">
        <x:f>(U86-T86)*100</x:f>
        <x:v>5.4955889002732015</x:v>
      </x:c>
      <x:c r="W86" s="28" t="n">
        <x:f>E86/G86</x:f>
        <x:v>0.08716323296354993</x:v>
      </x:c>
      <x:c r="X86" s="28" t="n">
        <x:f>M86/O86</x:f>
        <x:v>0.13466087243522745</x:v>
      </x:c>
      <x:c r="Y86" s="30" t="n">
        <x:f>(X86-W86)*100</x:f>
        <x:v>4.749763947167753</x:v>
      </x:c>
      <x:c r="Z86" s="32" t="n">
        <x:f>K86-C86</x:f>
        <x:v>-4727</x:v>
      </x:c>
      <x:c r="AA86" s="32" t="n">
        <x:f>P86-H86</x:f>
        <x:v>-3926</x:v>
      </x:c>
      <x:c r="AB86" s="28" t="n">
        <x:f>P86/H86-1</x:f>
        <x:v>-0.1774463276836158</x:v>
      </x:c>
      <x:c r="AC86" t="str">
        <x:f>IF(C86=MAX(C86:F86),"NDP",IF(D86=MAX(C86:F86),"Conservative",IF(E86=MAX(C86:F86),"Green","Other")))</x:f>
        <x:v>NDP</x:v>
      </x:c>
      <x:c r="AD86" t="str">
        <x:f>IF(K86=MAX(K86:N86),"NDP",IF(L86=MAX(K86:N86),"Conservative",IF(M86=MAX(K86:N86),"Green","Other")))</x:f>
        <x:v>NDP</x:v>
      </x:c>
      <x:c r="AE86" t="str">
        <x:f>IF(AC86=AD86,"No","Yes")</x:f>
        <x:v>No</x:v>
      </x:c>
      <x:c r="AF86" s="32" t="n">
        <x:f>LARGE(K86:N86,1)-LARGE(K86:N86,2)</x:f>
        <x:v>538</x:v>
      </x:c>
      <x:c r="AG86" s="32" t="n">
        <x:f>P86-O86</x:f>
        <x:v>20</x:v>
      </x:c>
      <x:c r="AH86" t="str">
        <x:v>—</x:v>
      </x:c>
      <x:c r="AI86" t="str">
        <x:v>https://elections.bc.ca/docs/rpt/statement-of-votes-2024-provincial-election.pdf</x:v>
      </x:c>
      <x:c r="AJ86" t="str">
        <x:v>https://results.elections.bc.ca/</x:v>
      </x:c>
    </x:row>
    <x:row r="87" ht="19" customHeight="1">
      <x:c r="A87" t="str">
        <x:v>Vancouver-Quilchena</x:v>
      </x:c>
      <x:c r="B87" t="str">
        <x:v>Vancouver</x:v>
      </x:c>
      <x:c r="C87" s="32" t="n">
        <x:v>8649</x:v>
      </x:c>
      <x:c r="D87" s="32" t="n">
        <x:v>11464</x:v>
      </x:c>
      <x:c r="E87" s="32" t="n">
        <x:v>1729</x:v>
      </x:c>
      <x:c r="F87" s="32" t="n">
        <x:v>385</x:v>
      </x:c>
      <x:c r="G87" s="32" t="n">
        <x:v>22227</x:v>
      </x:c>
      <x:c r="H87" s="32" t="n">
        <x:v>22259</x:v>
      </x:c>
      <x:c r="I87" s="32" t="n">
        <x:v>38080</x:v>
      </x:c>
      <x:c r="J87" s="28" t="n">
        <x:f>H87/I87</x:f>
        <x:v>0.5845325630252101</x:v>
      </x:c>
      <x:c r="K87" s="32" t="n">
        <x:v>5269</x:v>
      </x:c>
      <x:c r="L87" s="32" t="n">
        <x:v>10956</x:v>
      </x:c>
      <x:c r="M87" s="32" t="n">
        <x:v>1844</x:v>
      </x:c>
      <x:c r="N87" s="32" t="n">
        <x:v>1843</x:v>
      </x:c>
      <x:c r="O87" s="32" t="n">
        <x:v>19912</x:v>
      </x:c>
      <x:c r="P87" s="32" t="n">
        <x:v>19939</x:v>
      </x:c>
      <x:c r="Q87" s="28" t="n">
        <x:f>C87/G87</x:f>
        <x:v>0.3891213389121339</x:v>
      </x:c>
      <x:c r="R87" s="28" t="n">
        <x:f>K87/O87</x:f>
        <x:v>0.2646143029329048</x:v>
      </x:c>
      <x:c r="S87" s="30" t="n">
        <x:f>(R87-Q87)*100</x:f>
        <x:v>-12.450703597922914</x:v>
      </x:c>
      <x:c r="T87" s="28" t="n">
        <x:f>D87/G87</x:f>
        <x:v>0.5157691096414271</x:v>
      </x:c>
      <x:c r="U87" s="28" t="n">
        <x:f>L87/O87</x:f>
        <x:v>0.5502209722780234</x:v>
      </x:c>
      <x:c r="V87" s="30" t="n">
        <x:f>(U87-T87)*100</x:f>
        <x:v>3.4451862636596275</x:v>
      </x:c>
      <x:c r="W87" s="28" t="n">
        <x:f>E87/G87</x:f>
        <x:v>0.07778827552076303</x:v>
      </x:c>
      <x:c r="X87" s="28" t="n">
        <x:f>M87/O87</x:f>
        <x:v>0.09260747288067497</x:v>
      </x:c>
      <x:c r="Y87" s="30" t="n">
        <x:f>(X87-W87)*100</x:f>
        <x:v>1.481919735991194</x:v>
      </x:c>
      <x:c r="Z87" s="32" t="n">
        <x:f>K87-C87</x:f>
        <x:v>-3380</x:v>
      </x:c>
      <x:c r="AA87" s="32" t="n">
        <x:f>P87-H87</x:f>
        <x:v>-2320</x:v>
      </x:c>
      <x:c r="AB87" s="28" t="n">
        <x:f>P87/H87-1</x:f>
        <x:v>-0.1042275034817377</x:v>
      </x:c>
      <x:c r="AC87" t="str">
        <x:f>IF(C87=MAX(C87:F87),"NDP",IF(D87=MAX(C87:F87),"Conservative",IF(E87=MAX(C87:F87),"Green","Other")))</x:f>
        <x:v>Conservative</x:v>
      </x:c>
      <x:c r="AD87" t="str">
        <x:f>IF(K87=MAX(K87:N87),"NDP",IF(L87=MAX(K87:N87),"Conservative",IF(M87=MAX(K87:N87),"Green","Other")))</x:f>
        <x:v>Conservative</x:v>
      </x:c>
      <x:c r="AE87" t="str">
        <x:f>IF(AC87=AD87,"No","Yes")</x:f>
        <x:v>No</x:v>
      </x:c>
      <x:c r="AF87" s="32" t="n">
        <x:f>LARGE(K87:N87,1)-LARGE(K87:N87,2)</x:f>
        <x:v>5687</x:v>
      </x:c>
      <x:c r="AG87" s="32" t="n">
        <x:f>P87-O87</x:f>
        <x:v>27</x:v>
      </x:c>
      <x:c r="AH87" t="str">
        <x:v>—</x:v>
      </x:c>
      <x:c r="AI87" t="str">
        <x:v>https://elections.bc.ca/docs/rpt/statement-of-votes-2024-provincial-election.pdf</x:v>
      </x:c>
      <x:c r="AJ87" t="str">
        <x:v>https://results.elections.bc.ca/</x:v>
      </x:c>
    </x:row>
    <x:row r="88" ht="19" customHeight="1">
      <x:c r="A88" t="str">
        <x:v>Vancouver-Renfrew</x:v>
      </x:c>
      <x:c r="B88" t="str">
        <x:v>Vancouver</x:v>
      </x:c>
      <x:c r="C88" s="32" t="n">
        <x:v>10983</x:v>
      </x:c>
      <x:c r="D88" s="32" t="n">
        <x:v>5327</x:v>
      </x:c>
      <x:c r="E88" s="32" t="n">
        <x:v>1064</x:v>
      </x:c>
      <x:c r="F88" s="32" t="n">
        <x:v>0</x:v>
      </x:c>
      <x:c r="G88" s="32" t="n">
        <x:v>17374</x:v>
      </x:c>
      <x:c r="H88" s="32" t="n">
        <x:v>17421</x:v>
      </x:c>
      <x:c r="I88" s="32" t="n">
        <x:v>36116</x:v>
      </x:c>
      <x:c r="J88" s="28" t="n">
        <x:f>H88/I88</x:f>
        <x:v>0.4823623878613357</x:v>
      </x:c>
      <x:c r="K88" s="32" t="n">
        <x:v>7708</x:v>
      </x:c>
      <x:c r="L88" s="32" t="n">
        <x:v>4409</x:v>
      </x:c>
      <x:c r="M88" s="32" t="n">
        <x:v>1675</x:v>
      </x:c>
      <x:c r="N88" s="32" t="n">
        <x:v>314</x:v>
      </x:c>
      <x:c r="O88" s="32" t="n">
        <x:v>14106</x:v>
      </x:c>
      <x:c r="P88" s="32" t="n">
        <x:v>14158</x:v>
      </x:c>
      <x:c r="Q88" s="28" t="n">
        <x:f>C88/G88</x:f>
        <x:v>0.6321514907332796</x:v>
      </x:c>
      <x:c r="R88" s="28" t="n">
        <x:f>K88/O88</x:f>
        <x:v>0.5464341415000709</x:v>
      </x:c>
      <x:c r="S88" s="30" t="n">
        <x:f>(R88-Q88)*100</x:f>
        <x:v>-8.571734923320873</x:v>
      </x:c>
      <x:c r="T88" s="28" t="n">
        <x:f>D88/G88</x:f>
        <x:v>0.306607574536664</x:v>
      </x:c>
      <x:c r="U88" s="28" t="n">
        <x:f>L88/O88</x:f>
        <x:v>0.31256203034169855</x:v>
      </x:c>
      <x:c r="V88" s="30" t="n">
        <x:f>(U88-T88)*100</x:f>
        <x:v>0.5954455805034564</x:v>
      </x:c>
      <x:c r="W88" s="28" t="n">
        <x:f>E88/G88</x:f>
        <x:v>0.06124093473005641</x:v>
      </x:c>
      <x:c r="X88" s="28" t="n">
        <x:f>M88/O88</x:f>
        <x:v>0.11874379696583014</x:v>
      </x:c>
      <x:c r="Y88" s="30" t="n">
        <x:f>(X88-W88)*100</x:f>
        <x:v>5.750286223577373</x:v>
      </x:c>
      <x:c r="Z88" s="32" t="n">
        <x:f>K88-C88</x:f>
        <x:v>-3275</x:v>
      </x:c>
      <x:c r="AA88" s="32" t="n">
        <x:f>P88-H88</x:f>
        <x:v>-3263</x:v>
      </x:c>
      <x:c r="AB88" s="28" t="n">
        <x:f>P88/H88-1</x:f>
        <x:v>-0.18730268067275124</x:v>
      </x:c>
      <x:c r="AC88" t="str">
        <x:f>IF(C88=MAX(C88:F88),"NDP",IF(D88=MAX(C88:F88),"Conservative",IF(E88=MAX(C88:F88),"Green","Other")))</x:f>
        <x:v>NDP</x:v>
      </x:c>
      <x:c r="AD88" t="str">
        <x:f>IF(K88=MAX(K88:N88),"NDP",IF(L88=MAX(K88:N88),"Conservative",IF(M88=MAX(K88:N88),"Green","Other")))</x:f>
        <x:v>NDP</x:v>
      </x:c>
      <x:c r="AE88" t="str">
        <x:f>IF(AC88=AD88,"No","Yes")</x:f>
        <x:v>No</x:v>
      </x:c>
      <x:c r="AF88" s="32" t="n">
        <x:f>LARGE(K88:N88,1)-LARGE(K88:N88,2)</x:f>
        <x:v>3299</x:v>
      </x:c>
      <x:c r="AG88" s="32" t="n">
        <x:f>P88-O88</x:f>
        <x:v>52</x:v>
      </x:c>
      <x:c r="AH88" t="str">
        <x:v>—</x:v>
      </x:c>
      <x:c r="AI88" t="str">
        <x:v>https://elections.bc.ca/docs/rpt/statement-of-votes-2024-provincial-election.pdf</x:v>
      </x:c>
      <x:c r="AJ88" t="str">
        <x:v>https://results.elections.bc.ca/</x:v>
      </x:c>
    </x:row>
    <x:row r="89" ht="19" customHeight="1">
      <x:c r="A89" t="str">
        <x:v>Vancouver-South Granville</x:v>
      </x:c>
      <x:c r="B89" t="str">
        <x:v>Vancouver</x:v>
      </x:c>
      <x:c r="C89" s="32" t="n">
        <x:v>17208</x:v>
      </x:c>
      <x:c r="D89" s="32" t="n">
        <x:v>6678</x:v>
      </x:c>
      <x:c r="E89" s="32" t="n">
        <x:v>2872</x:v>
      </x:c>
      <x:c r="F89" s="32" t="n">
        <x:v>0</x:v>
      </x:c>
      <x:c r="G89" s="32" t="n">
        <x:v>26758</x:v>
      </x:c>
      <x:c r="H89" s="32" t="n">
        <x:v>26813</x:v>
      </x:c>
      <x:c r="I89" s="32" t="n">
        <x:v>42014</x:v>
      </x:c>
      <x:c r="J89" s="28" t="n">
        <x:f>H89/I89</x:f>
        <x:v>0.638192031227686</x:v>
      </x:c>
      <x:c r="K89" s="32" t="n">
        <x:v>10427</x:v>
      </x:c>
      <x:c r="L89" s="32" t="n">
        <x:v>6489</x:v>
      </x:c>
      <x:c r="M89" s="32" t="n">
        <x:v>4151</x:v>
      </x:c>
      <x:c r="N89" s="32" t="n">
        <x:v>917</x:v>
      </x:c>
      <x:c r="O89" s="32" t="n">
        <x:v>21984</x:v>
      </x:c>
      <x:c r="P89" s="32" t="n">
        <x:v>22002</x:v>
      </x:c>
      <x:c r="Q89" s="28" t="n">
        <x:f>C89/G89</x:f>
        <x:v>0.6430973914343374</x:v>
      </x:c>
      <x:c r="R89" s="28" t="n">
        <x:f>K89/O89</x:f>
        <x:v>0.4742994905385735</x:v>
      </x:c>
      <x:c r="S89" s="30" t="n">
        <x:f>(R89-Q89)*100</x:f>
        <x:v>-16.879790089576392</x:v>
      </x:c>
      <x:c r="T89" s="28" t="n">
        <x:f>D89/G89</x:f>
        <x:v>0.24957022198968531</x:v>
      </x:c>
      <x:c r="U89" s="28" t="n">
        <x:f>L89/O89</x:f>
        <x:v>0.29516921397379914</x:v>
      </x:c>
      <x:c r="V89" s="30" t="n">
        <x:f>(U89-T89)*100</x:f>
        <x:v>4.559899198411382</x:v>
      </x:c>
      <x:c r="W89" s="28" t="n">
        <x:f>E89/G89</x:f>
        <x:v>0.10733238657597728</x:v>
      </x:c>
      <x:c r="X89" s="28" t="n">
        <x:f>M89/O89</x:f>
        <x:v>0.18881914119359533</x:v>
      </x:c>
      <x:c r="Y89" s="30" t="n">
        <x:f>(X89-W89)*100</x:f>
        <x:v>8.148675461761805</x:v>
      </x:c>
      <x:c r="Z89" s="32" t="n">
        <x:f>K89-C89</x:f>
        <x:v>-6781</x:v>
      </x:c>
      <x:c r="AA89" s="32" t="n">
        <x:f>P89-H89</x:f>
        <x:v>-4811</x:v>
      </x:c>
      <x:c r="AB89" s="28" t="n">
        <x:f>P89/H89-1</x:f>
        <x:v>-0.17942788945660681</x:v>
      </x:c>
      <x:c r="AC89" t="str">
        <x:f>IF(C89=MAX(C89:F89),"NDP",IF(D89=MAX(C89:F89),"Conservative",IF(E89=MAX(C89:F89),"Green","Other")))</x:f>
        <x:v>NDP</x:v>
      </x:c>
      <x:c r="AD89" t="str">
        <x:f>IF(K89=MAX(K89:N89),"NDP",IF(L89=MAX(K89:N89),"Conservative",IF(M89=MAX(K89:N89),"Green","Other")))</x:f>
        <x:v>NDP</x:v>
      </x:c>
      <x:c r="AE89" t="str">
        <x:f>IF(AC89=AD89,"No","Yes")</x:f>
        <x:v>No</x:v>
      </x:c>
      <x:c r="AF89" s="32" t="n">
        <x:f>LARGE(K89:N89,1)-LARGE(K89:N89,2)</x:f>
        <x:v>3938</x:v>
      </x:c>
      <x:c r="AG89" s="32" t="n">
        <x:f>P89-O89</x:f>
        <x:v>18</x:v>
      </x:c>
      <x:c r="AH89" t="str">
        <x:v>—</x:v>
      </x:c>
      <x:c r="AI89" t="str">
        <x:v>https://elections.bc.ca/docs/rpt/statement-of-votes-2024-provincial-election.pdf</x:v>
      </x:c>
      <x:c r="AJ89" t="str">
        <x:v>https://results.elections.bc.ca/</x:v>
      </x:c>
    </x:row>
    <x:row r="90" ht="19" customHeight="1">
      <x:c r="A90" t="str">
        <x:v>Vancouver-Strathcona</x:v>
      </x:c>
      <x:c r="B90" t="str">
        <x:v>Vancouver</x:v>
      </x:c>
      <x:c r="C90" s="32" t="n">
        <x:v>13673</x:v>
      </x:c>
      <x:c r="D90" s="32" t="n">
        <x:v>3430</x:v>
      </x:c>
      <x:c r="E90" s="32" t="n">
        <x:v>2618</x:v>
      </x:c>
      <x:c r="F90" s="32" t="n">
        <x:v>336</x:v>
      </x:c>
      <x:c r="G90" s="32" t="n">
        <x:v>20057</x:v>
      </x:c>
      <x:c r="H90" s="32" t="n">
        <x:v>20121</x:v>
      </x:c>
      <x:c r="I90" s="32" t="n">
        <x:v>39177</x:v>
      </x:c>
      <x:c r="J90" s="28" t="n">
        <x:f>H90/I90</x:f>
        <x:v>0.5135921586645226</x:v>
      </x:c>
      <x:c r="K90" s="32" t="n">
        <x:v>9484</x:v>
      </x:c>
      <x:c r="L90" s="32" t="n">
        <x:v>2531</x:v>
      </x:c>
      <x:c r="M90" s="32" t="n">
        <x:v>4985</x:v>
      </x:c>
      <x:c r="N90" s="32" t="n">
        <x:v>216</x:v>
      </x:c>
      <x:c r="O90" s="32" t="n">
        <x:v>17216</x:v>
      </x:c>
      <x:c r="P90" s="32" t="n">
        <x:v>17309</x:v>
      </x:c>
      <x:c r="Q90" s="28" t="n">
        <x:f>C90/G90</x:f>
        <x:v>0.6817071346662014</x:v>
      </x:c>
      <x:c r="R90" s="28" t="n">
        <x:f>K90/O90</x:f>
        <x:v>0.5508828996282528</x:v>
      </x:c>
      <x:c r="S90" s="30" t="n">
        <x:f>(R90-Q90)*100</x:f>
        <x:v>-13.08242350379486</x:v>
      </x:c>
      <x:c r="T90" s="28" t="n">
        <x:f>D90/G90</x:f>
        <x:v>0.17101261404995763</x:v>
      </x:c>
      <x:c r="U90" s="28" t="n">
        <x:f>L90/O90</x:f>
        <x:v>0.14701440520446096</x:v>
      </x:c>
      <x:c r="V90" s="30" t="n">
        <x:f>(U90-T90)*100</x:f>
        <x:v>-2.3998208845496665</x:v>
      </x:c>
      <x:c r="W90" s="28" t="n">
        <x:f>E90/G90</x:f>
        <x:v>0.1305279952136411</x:v>
      </x:c>
      <x:c r="X90" s="28" t="n">
        <x:f>M90/O90</x:f>
        <x:v>0.28955622676579923</x:v>
      </x:c>
      <x:c r="Y90" s="30" t="n">
        <x:f>(X90-W90)*100</x:f>
        <x:v>15.902823155215811</x:v>
      </x:c>
      <x:c r="Z90" s="32" t="n">
        <x:f>K90-C90</x:f>
        <x:v>-4189</x:v>
      </x:c>
      <x:c r="AA90" s="32" t="n">
        <x:f>P90-H90</x:f>
        <x:v>-2812</x:v>
      </x:c>
      <x:c r="AB90" s="28" t="n">
        <x:f>P90/H90-1</x:f>
        <x:v>-0.1397544853635505</x:v>
      </x:c>
      <x:c r="AC90" t="str">
        <x:f>IF(C90=MAX(C90:F90),"NDP",IF(D90=MAX(C90:F90),"Conservative",IF(E90=MAX(C90:F90),"Green","Other")))</x:f>
        <x:v>NDP</x:v>
      </x:c>
      <x:c r="AD90" t="str">
        <x:f>IF(K90=MAX(K90:N90),"NDP",IF(L90=MAX(K90:N90),"Conservative",IF(M90=MAX(K90:N90),"Green","Other")))</x:f>
        <x:v>NDP</x:v>
      </x:c>
      <x:c r="AE90" t="str">
        <x:f>IF(AC90=AD90,"No","Yes")</x:f>
        <x:v>No</x:v>
      </x:c>
      <x:c r="AF90" s="32" t="n">
        <x:f>LARGE(K90:N90,1)-LARGE(K90:N90,2)</x:f>
        <x:v>4499</x:v>
      </x:c>
      <x:c r="AG90" s="32" t="n">
        <x:f>P90-O90</x:f>
        <x:v>93</x:v>
      </x:c>
      <x:c r="AH90" t="str">
        <x:v>—</x:v>
      </x:c>
      <x:c r="AI90" t="str">
        <x:v>https://elections.bc.ca/docs/rpt/statement-of-votes-2024-provincial-election.pdf</x:v>
      </x:c>
      <x:c r="AJ90" t="str">
        <x:v>https://results.elections.bc.ca/</x:v>
      </x:c>
    </x:row>
    <x:row r="91" ht="19" customHeight="1">
      <x:c r="A91" t="str">
        <x:v>Vancouver-West End</x:v>
      </x:c>
      <x:c r="B91" t="str">
        <x:v>Vancouver</x:v>
      </x:c>
      <x:c r="C91" s="32" t="n">
        <x:v>13143</x:v>
      </x:c>
      <x:c r="D91" s="32" t="n">
        <x:v>5677</x:v>
      </x:c>
      <x:c r="E91" s="32" t="n">
        <x:v>1893</x:v>
      </x:c>
      <x:c r="F91" s="32" t="n">
        <x:v>144</x:v>
      </x:c>
      <x:c r="G91" s="32" t="n">
        <x:v>20857</x:v>
      </x:c>
      <x:c r="H91" s="32" t="n">
        <x:v>20894</x:v>
      </x:c>
      <x:c r="I91" s="32" t="n">
        <x:v>39011</x:v>
      </x:c>
      <x:c r="J91" s="28" t="n">
        <x:f>H91/I91</x:f>
        <x:v>0.5355925251852042</x:v>
      </x:c>
      <x:c r="K91" s="32" t="n">
        <x:v>8661</x:v>
      </x:c>
      <x:c r="L91" s="32" t="n">
        <x:v>5115</x:v>
      </x:c>
      <x:c r="M91" s="32" t="n">
        <x:v>3001</x:v>
      </x:c>
      <x:c r="N91" s="32" t="n">
        <x:v>0</x:v>
      </x:c>
      <x:c r="O91" s="32" t="n">
        <x:v>16777</x:v>
      </x:c>
      <x:c r="P91" s="32" t="n">
        <x:v>16804</x:v>
      </x:c>
      <x:c r="Q91" s="28" t="n">
        <x:f>C91/G91</x:f>
        <x:v>0.6301481516996692</x:v>
      </x:c>
      <x:c r="R91" s="28" t="n">
        <x:f>K91/O91</x:f>
        <x:v>0.5162424748167134</x:v>
      </x:c>
      <x:c r="S91" s="30" t="n">
        <x:f>(R91-Q91)*100</x:f>
        <x:v>-11.390567688295583</x:v>
      </x:c>
      <x:c r="T91" s="28" t="n">
        <x:f>D91/G91</x:f>
        <x:v>0.27218679579997124</x:v>
      </x:c>
      <x:c r="U91" s="28" t="n">
        <x:f>L91/O91</x:f>
        <x:v>0.30488168325683973</x:v>
      </x:c>
      <x:c r="V91" s="30" t="n">
        <x:f>(U91-T91)*100</x:f>
        <x:v>3.269488745686849</x:v>
      </x:c>
      <x:c r="W91" s="28" t="n">
        <x:f>E91/G91</x:f>
        <x:v>0.09076089562257275</x:v>
      </x:c>
      <x:c r="X91" s="28" t="n">
        <x:f>M91/O91</x:f>
        <x:v>0.17887584192644693</x:v>
      </x:c>
      <x:c r="Y91" s="30" t="n">
        <x:f>(X91-W91)*100</x:f>
        <x:v>8.811494630387418</x:v>
      </x:c>
      <x:c r="Z91" s="32" t="n">
        <x:f>K91-C91</x:f>
        <x:v>-4482</x:v>
      </x:c>
      <x:c r="AA91" s="32" t="n">
        <x:f>P91-H91</x:f>
        <x:v>-4090</x:v>
      </x:c>
      <x:c r="AB91" s="28" t="n">
        <x:f>P91/H91-1</x:f>
        <x:v>-0.19574997606968503</x:v>
      </x:c>
      <x:c r="AC91" t="str">
        <x:f>IF(C91=MAX(C91:F91),"NDP",IF(D91=MAX(C91:F91),"Conservative",IF(E91=MAX(C91:F91),"Green","Other")))</x:f>
        <x:v>NDP</x:v>
      </x:c>
      <x:c r="AD91" t="str">
        <x:f>IF(K91=MAX(K91:N91),"NDP",IF(L91=MAX(K91:N91),"Conservative",IF(M91=MAX(K91:N91),"Green","Other")))</x:f>
        <x:v>NDP</x:v>
      </x:c>
      <x:c r="AE91" t="str">
        <x:f>IF(AC91=AD91,"No","Yes")</x:f>
        <x:v>No</x:v>
      </x:c>
      <x:c r="AF91" s="32" t="n">
        <x:f>LARGE(K91:N91,1)-LARGE(K91:N91,2)</x:f>
        <x:v>3546</x:v>
      </x:c>
      <x:c r="AG91" s="32" t="n">
        <x:f>P91-O91</x:f>
        <x:v>27</x:v>
      </x:c>
      <x:c r="AH91" t="str">
        <x:v>—</x:v>
      </x:c>
      <x:c r="AI91" t="str">
        <x:v>https://elections.bc.ca/docs/rpt/statement-of-votes-2024-provincial-election.pdf</x:v>
      </x:c>
      <x:c r="AJ91" t="str">
        <x:v>https://results.elections.bc.ca/</x:v>
      </x:c>
    </x:row>
    <x:row r="92" ht="19" customHeight="1">
      <x:c r="A92" t="str">
        <x:v>Vancouver-Yaletown</x:v>
      </x:c>
      <x:c r="B92" t="str">
        <x:v>Vancouver</x:v>
      </x:c>
      <x:c r="C92" s="32" t="n">
        <x:v>9018</x:v>
      </x:c>
      <x:c r="D92" s="32" t="n">
        <x:v>7857</x:v>
      </x:c>
      <x:c r="E92" s="32" t="n">
        <x:v>1248</x:v>
      </x:c>
      <x:c r="F92" s="32" t="n">
        <x:v>0</x:v>
      </x:c>
      <x:c r="G92" s="32" t="n">
        <x:v>18123</x:v>
      </x:c>
      <x:c r="H92" s="32" t="n">
        <x:v>18155</x:v>
      </x:c>
      <x:c r="I92" s="32" t="n">
        <x:v>36210</x:v>
      </x:c>
      <x:c r="J92" s="28" t="n">
        <x:f>H92/I92</x:f>
        <x:v>0.5013808340237503</x:v>
      </x:c>
      <x:c r="K92" s="32" t="n">
        <x:v>5870</x:v>
      </x:c>
      <x:c r="L92" s="32" t="n">
        <x:v>6714</x:v>
      </x:c>
      <x:c r="M92" s="32" t="n">
        <x:v>1253</x:v>
      </x:c>
      <x:c r="N92" s="32" t="n">
        <x:v>482</x:v>
      </x:c>
      <x:c r="O92" s="32" t="n">
        <x:v>14319</x:v>
      </x:c>
      <x:c r="P92" s="32" t="n">
        <x:v>14391</x:v>
      </x:c>
      <x:c r="Q92" s="28" t="n">
        <x:f>C92/G92</x:f>
        <x:v>0.4975997351431882</x:v>
      </x:c>
      <x:c r="R92" s="28" t="n">
        <x:f>K92/O92</x:f>
        <x:v>0.4099448285494797</x:v>
      </x:c>
      <x:c r="S92" s="30" t="n">
        <x:f>(R92-Q92)*100</x:f>
        <x:v>-8.765490659370851</x:v>
      </x:c>
      <x:c r="T92" s="28" t="n">
        <x:f>D92/G92</x:f>
        <x:v>0.43353749379241846</x:v>
      </x:c>
      <x:c r="U92" s="28" t="n">
        <x:f>L92/O92</x:f>
        <x:v>0.4688874921433061</x:v>
      </x:c>
      <x:c r="V92" s="30" t="n">
        <x:f>(U92-T92)*100</x:f>
        <x:v>3.5349998350887644</x:v>
      </x:c>
      <x:c r="W92" s="28" t="n">
        <x:f>E92/G92</x:f>
        <x:v>0.06886277106439331</x:v>
      </x:c>
      <x:c r="X92" s="28" t="n">
        <x:f>M92/O92</x:f>
        <x:v>0.08750611076192472</x:v>
      </x:c>
      <x:c r="Y92" s="30" t="n">
        <x:f>(X92-W92)*100</x:f>
        <x:v>1.8643339697531403</x:v>
      </x:c>
      <x:c r="Z92" s="32" t="n">
        <x:f>K92-C92</x:f>
        <x:v>-3148</x:v>
      </x:c>
      <x:c r="AA92" s="32" t="n">
        <x:f>P92-H92</x:f>
        <x:v>-3764</x:v>
      </x:c>
      <x:c r="AB92" s="28" t="n">
        <x:f>P92/H92-1</x:f>
        <x:v>-0.20732580556320568</x:v>
      </x:c>
      <x:c r="AC92" t="str">
        <x:f>IF(C92=MAX(C92:F92),"NDP",IF(D92=MAX(C92:F92),"Conservative",IF(E92=MAX(C92:F92),"Green","Other")))</x:f>
        <x:v>NDP</x:v>
      </x:c>
      <x:c r="AD92" t="str">
        <x:f>IF(K92=MAX(K92:N92),"NDP",IF(L92=MAX(K92:N92),"Conservative",IF(M92=MAX(K92:N92),"Green","Other")))</x:f>
        <x:v>Conservative</x:v>
      </x:c>
      <x:c r="AE92" t="str">
        <x:f>IF(AC92=AD92,"No","Yes")</x:f>
        <x:v>Yes</x:v>
      </x:c>
      <x:c r="AF92" s="32" t="n">
        <x:f>LARGE(K92:N92,1)-LARGE(K92:N92,2)</x:f>
        <x:v>844</x:v>
      </x:c>
      <x:c r="AG92" s="32" t="n">
        <x:f>P92-O92</x:f>
        <x:v>72</x:v>
      </x:c>
      <x:c r="AH92" t="str">
        <x:v>—</x:v>
      </x:c>
      <x:c r="AI92" t="str">
        <x:v>https://elections.bc.ca/docs/rpt/statement-of-votes-2024-provincial-election.pdf</x:v>
      </x:c>
      <x:c r="AJ92" t="str">
        <x:v>https://results.elections.bc.ca/</x:v>
      </x:c>
    </x:row>
    <x:row r="93" ht="19" customHeight="1">
      <x:c r="A93" t="str">
        <x:v>Vernon-Lumby</x:v>
      </x:c>
      <x:c r="B93" t="str">
        <x:v>Southern Interior / Kootenays / Coast</x:v>
      </x:c>
      <x:c r="C93" s="32" t="n">
        <x:v>11837</x:v>
      </x:c>
      <x:c r="D93" s="32" t="n">
        <x:v>11361</x:v>
      </x:c>
      <x:c r="E93" s="32" t="n">
        <x:v>0</x:v>
      </x:c>
      <x:c r="F93" s="32" t="n">
        <x:v>4531</x:v>
      </x:c>
      <x:c r="G93" s="32" t="n">
        <x:v>27729</x:v>
      </x:c>
      <x:c r="H93" s="32" t="n">
        <x:v>27785</x:v>
      </x:c>
      <x:c r="I93" s="32" t="n">
        <x:v>45810</x:v>
      </x:c>
      <x:c r="J93" s="28" t="n">
        <x:f>H93/I93</x:f>
        <x:v>0.6065269591792185</x:v>
      </x:c>
      <x:c r="K93" s="32" t="n">
        <x:v>9448</x:v>
      </x:c>
      <x:c r="L93" s="32" t="n">
        <x:v>12702</x:v>
      </x:c>
      <x:c r="M93" s="32" t="n">
        <x:v>1729</x:v>
      </x:c>
      <x:c r="N93" s="32" t="n">
        <x:v>1120</x:v>
      </x:c>
      <x:c r="O93" s="32" t="n">
        <x:v>24999</x:v>
      </x:c>
      <x:c r="P93" s="32" t="n">
        <x:v>25031</x:v>
      </x:c>
      <x:c r="Q93" s="28" t="n">
        <x:f>C93/G93</x:f>
        <x:v>0.426881604096794</x:v>
      </x:c>
      <x:c r="R93" s="28" t="n">
        <x:f>K93/O93</x:f>
        <x:v>0.3779351174046962</x:v>
      </x:c>
      <x:c r="S93" s="30" t="n">
        <x:f>(R93-Q93)*100</x:f>
        <x:v>-4.8946486692097775</x:v>
      </x:c>
      <x:c r="T93" s="28" t="n">
        <x:f>D93/G93</x:f>
        <x:v>0.40971546034837175</x:v>
      </x:c>
      <x:c r="U93" s="28" t="n">
        <x:f>L93/O93</x:f>
        <x:v>0.5081003240129606</x:v>
      </x:c>
      <x:c r="V93" s="30" t="n">
        <x:f>(U93-T93)*100</x:f>
        <x:v>9.838486366458882</x:v>
      </x:c>
      <x:c r="W93" s="28" t="n">
        <x:f>E93/G93</x:f>
        <x:v>0</x:v>
      </x:c>
      <x:c r="X93" s="28" t="n">
        <x:f>M93/O93</x:f>
        <x:v>0.06916276651066043</x:v>
      </x:c>
      <x:c r="Y93" s="30" t="n">
        <x:f>(X93-W93)*100</x:f>
        <x:v>6.916276651066043</x:v>
      </x:c>
      <x:c r="Z93" s="32" t="n">
        <x:f>K93-C93</x:f>
        <x:v>-2389</x:v>
      </x:c>
      <x:c r="AA93" s="32" t="n">
        <x:f>P93-H93</x:f>
        <x:v>-2754</x:v>
      </x:c>
      <x:c r="AB93" s="28" t="n">
        <x:f>P93/H93-1</x:f>
        <x:v>-0.09911822926039227</x:v>
      </x:c>
      <x:c r="AC93" t="str">
        <x:f>IF(C93=MAX(C93:F93),"NDP",IF(D93=MAX(C93:F93),"Conservative",IF(E93=MAX(C93:F93),"Green","Other")))</x:f>
        <x:v>NDP</x:v>
      </x:c>
      <x:c r="AD93" t="str">
        <x:f>IF(K93=MAX(K93:N93),"NDP",IF(L93=MAX(K93:N93),"Conservative",IF(M93=MAX(K93:N93),"Green","Other")))</x:f>
        <x:v>Conservative</x:v>
      </x:c>
      <x:c r="AE93" t="str">
        <x:f>IF(AC93=AD93,"No","Yes")</x:f>
        <x:v>Yes</x:v>
      </x:c>
      <x:c r="AF93" s="32" t="n">
        <x:f>LARGE(K93:N93,1)-LARGE(K93:N93,2)</x:f>
        <x:v>3254</x:v>
      </x:c>
      <x:c r="AG93" s="32" t="n">
        <x:f>P93-O93</x:f>
        <x:v>32</x:v>
      </x:c>
      <x:c r="AH93" t="str">
        <x:v>Green absent 2024</x:v>
      </x:c>
      <x:c r="AI93" t="str">
        <x:v>https://elections.bc.ca/docs/rpt/statement-of-votes-2024-provincial-election.pdf</x:v>
      </x:c>
      <x:c r="AJ93" t="str">
        <x:v>https://results.elections.bc.ca/</x:v>
      </x:c>
    </x:row>
    <x:row r="94" ht="19" customHeight="1">
      <x:c r="A94" t="str">
        <x:v>Victoria-Beacon Hill</x:v>
      </x:c>
      <x:c r="B94" t="str">
        <x:v>Vancouver Island / Gulf Islands</x:v>
      </x:c>
      <x:c r="C94" s="32" t="n">
        <x:v>13634</x:v>
      </x:c>
      <x:c r="D94" s="32" t="n">
        <x:v>5514</x:v>
      </x:c>
      <x:c r="E94" s="32" t="n">
        <x:v>9644</x:v>
      </x:c>
      <x:c r="F94" s="32" t="n">
        <x:v>0</x:v>
      </x:c>
      <x:c r="G94" s="32" t="n">
        <x:v>28792</x:v>
      </x:c>
      <x:c r="H94" s="32" t="n">
        <x:v>28846</x:v>
      </x:c>
      <x:c r="I94" s="32" t="n">
        <x:v>43860</x:v>
      </x:c>
      <x:c r="J94" s="28" t="n">
        <x:f>H94/I94</x:f>
        <x:v>0.6576835385316917</x:v>
      </x:c>
      <x:c r="K94" s="32" t="n">
        <x:v>10407</x:v>
      </x:c>
      <x:c r="L94" s="32" t="n">
        <x:v>3193</x:v>
      </x:c>
      <x:c r="M94" s="32" t="n">
        <x:v>9189</x:v>
      </x:c>
      <x:c r="N94" s="32" t="n">
        <x:v>0</x:v>
      </x:c>
      <x:c r="O94" s="32" t="n">
        <x:v>22789</x:v>
      </x:c>
      <x:c r="P94" s="32" t="n">
        <x:v>22888</x:v>
      </x:c>
      <x:c r="Q94" s="28" t="n">
        <x:f>C94/G94</x:f>
        <x:v>0.4735343150875243</x:v>
      </x:c>
      <x:c r="R94" s="28" t="n">
        <x:f>K94/O94</x:f>
        <x:v>0.45666769055245954</x:v>
      </x:c>
      <x:c r="S94" s="30" t="n">
        <x:f>(R94-Q94)*100</x:f>
        <x:v>-1.6866624535064767</x:v>
      </x:c>
      <x:c r="T94" s="28" t="n">
        <x:f>D94/G94</x:f>
        <x:v>0.19151153098082802</x:v>
      </x:c>
      <x:c r="U94" s="28" t="n">
        <x:f>L94/O94</x:f>
        <x:v>0.14011145728202204</x:v>
      </x:c>
      <x:c r="V94" s="30" t="n">
        <x:f>(U94-T94)*100</x:f>
        <x:v>-5.140007369880598</x:v>
      </x:c>
      <x:c r="W94" s="28" t="n">
        <x:f>E94/G94</x:f>
        <x:v>0.3349541539316477</x:v>
      </x:c>
      <x:c r="X94" s="28" t="n">
        <x:f>M94/O94</x:f>
        <x:v>0.40322085216551845</x:v>
      </x:c>
      <x:c r="Y94" s="30" t="n">
        <x:f>(X94-W94)*100</x:f>
        <x:v>6.826669823387077</x:v>
      </x:c>
      <x:c r="Z94" s="32" t="n">
        <x:f>K94-C94</x:f>
        <x:v>-3227</x:v>
      </x:c>
      <x:c r="AA94" s="32" t="n">
        <x:f>P94-H94</x:f>
        <x:v>-5958</x:v>
      </x:c>
      <x:c r="AB94" s="28" t="n">
        <x:f>P94/H94-1</x:f>
        <x:v>-0.20654510157387507</x:v>
      </x:c>
      <x:c r="AC94" t="str">
        <x:f>IF(C94=MAX(C94:F94),"NDP",IF(D94=MAX(C94:F94),"Conservative",IF(E94=MAX(C94:F94),"Green","Other")))</x:f>
        <x:v>NDP</x:v>
      </x:c>
      <x:c r="AD94" t="str">
        <x:f>IF(K94=MAX(K94:N94),"NDP",IF(L94=MAX(K94:N94),"Conservative",IF(M94=MAX(K94:N94),"Green","Other")))</x:f>
        <x:v>NDP</x:v>
      </x:c>
      <x:c r="AE94" t="str">
        <x:f>IF(AC94=AD94,"No","Yes")</x:f>
        <x:v>No</x:v>
      </x:c>
      <x:c r="AF94" s="32" t="n">
        <x:f>LARGE(K94:N94,1)-LARGE(K94:N94,2)</x:f>
        <x:v>1218</x:v>
      </x:c>
      <x:c r="AG94" s="32" t="n">
        <x:f>P94-O94</x:f>
        <x:v>99</x:v>
      </x:c>
      <x:c r="AH94" t="str">
        <x:v>—</x:v>
      </x:c>
      <x:c r="AI94" t="str">
        <x:v>https://elections.bc.ca/docs/rpt/statement-of-votes-2024-provincial-election.pdf</x:v>
      </x:c>
      <x:c r="AJ94" t="str">
        <x:v>https://results.elections.bc.ca/</x:v>
      </x:c>
    </x:row>
    <x:row r="95" ht="19" customHeight="1">
      <x:c r="A95" t="str">
        <x:v>Victoria-Swan Lake</x:v>
      </x:c>
      <x:c r="B95" t="str">
        <x:v>Vancouver Island / Gulf Islands</x:v>
      </x:c>
      <x:c r="C95" s="32" t="n">
        <x:v>14273</x:v>
      </x:c>
      <x:c r="D95" s="32" t="n">
        <x:v>5146</x:v>
      </x:c>
      <x:c r="E95" s="32" t="n">
        <x:v>5899</x:v>
      </x:c>
      <x:c r="F95" s="32" t="n">
        <x:v>156</x:v>
      </x:c>
      <x:c r="G95" s="32" t="n">
        <x:v>25474</x:v>
      </x:c>
      <x:c r="H95" s="32" t="n">
        <x:v>25525</x:v>
      </x:c>
      <x:c r="I95" s="32" t="n">
        <x:v>40752</x:v>
      </x:c>
      <x:c r="J95" s="28" t="n">
        <x:f>H95/I95</x:f>
        <x:v>0.6263496270121712</x:v>
      </x:c>
      <x:c r="K95" s="32" t="n">
        <x:v>9250</x:v>
      </x:c>
      <x:c r="L95" s="32" t="n">
        <x:v>4475</x:v>
      </x:c>
      <x:c r="M95" s="32" t="n">
        <x:v>7470</x:v>
      </x:c>
      <x:c r="N95" s="32" t="n">
        <x:v>0</x:v>
      </x:c>
      <x:c r="O95" s="32" t="n">
        <x:v>21195</x:v>
      </x:c>
      <x:c r="P95" s="32" t="n">
        <x:v>21234</x:v>
      </x:c>
      <x:c r="Q95" s="28" t="n">
        <x:f>C95/G95</x:f>
        <x:v>0.5602967731804978</x:v>
      </x:c>
      <x:c r="R95" s="28" t="n">
        <x:f>K95/O95</x:f>
        <x:v>0.43642368483132815</x:v>
      </x:c>
      <x:c r="S95" s="30" t="n">
        <x:f>(R95-Q95)*100</x:f>
        <x:v>-12.38730883491696</x:v>
      </x:c>
      <x:c r="T95" s="28" t="n">
        <x:f>D95/G95</x:f>
        <x:v>0.20200989243934991</x:v>
      </x:c>
      <x:c r="U95" s="28" t="n">
        <x:f>L95/O95</x:f>
        <x:v>0.21113470158056144</x:v>
      </x:c>
      <x:c r="V95" s="30" t="n">
        <x:f>(U95-T95)*100</x:f>
        <x:v>0.9124809141211526</x:v>
      </x:c>
      <x:c r="W95" s="28" t="n">
        <x:f>E95/G95</x:f>
        <x:v>0.231569443354008</x:v>
      </x:c>
      <x:c r="X95" s="28" t="n">
        <x:f>M95/O95</x:f>
        <x:v>0.3524416135881104</x:v>
      </x:c>
      <x:c r="Y95" s="30" t="n">
        <x:f>(X95-W95)*100</x:f>
        <x:v>12.087217023410238</x:v>
      </x:c>
      <x:c r="Z95" s="32" t="n">
        <x:f>K95-C95</x:f>
        <x:v>-5023</x:v>
      </x:c>
      <x:c r="AA95" s="32" t="n">
        <x:f>P95-H95</x:f>
        <x:v>-4291</x:v>
      </x:c>
      <x:c r="AB95" s="28" t="n">
        <x:f>P95/H95-1</x:f>
        <x:v>-0.16810969637610185</x:v>
      </x:c>
      <x:c r="AC95" t="str">
        <x:f>IF(C95=MAX(C95:F95),"NDP",IF(D95=MAX(C95:F95),"Conservative",IF(E95=MAX(C95:F95),"Green","Other")))</x:f>
        <x:v>NDP</x:v>
      </x:c>
      <x:c r="AD95" t="str">
        <x:f>IF(K95=MAX(K95:N95),"NDP",IF(L95=MAX(K95:N95),"Conservative",IF(M95=MAX(K95:N95),"Green","Other")))</x:f>
        <x:v>NDP</x:v>
      </x:c>
      <x:c r="AE95" t="str">
        <x:f>IF(AC95=AD95,"No","Yes")</x:f>
        <x:v>No</x:v>
      </x:c>
      <x:c r="AF95" s="32" t="n">
        <x:f>LARGE(K95:N95,1)-LARGE(K95:N95,2)</x:f>
        <x:v>1780</x:v>
      </x:c>
      <x:c r="AG95" s="32" t="n">
        <x:f>P95-O95</x:f>
        <x:v>39</x:v>
      </x:c>
      <x:c r="AH95" t="str">
        <x:v>—</x:v>
      </x:c>
      <x:c r="AI95" t="str">
        <x:v>https://elections.bc.ca/docs/rpt/statement-of-votes-2024-provincial-election.pdf</x:v>
      </x:c>
      <x:c r="AJ95" t="str">
        <x:v>https://results.elections.bc.ca/</x:v>
      </x:c>
    </x:row>
    <x:row r="96" ht="19" customHeight="1">
      <x:c r="A96" t="str">
        <x:v>West Kelowna-Peachland</x:v>
      </x:c>
      <x:c r="B96" t="str">
        <x:v>Southern Interior / Kootenays / Coast</x:v>
      </x:c>
      <x:c r="C96" s="32" t="n">
        <x:v>7394</x:v>
      </x:c>
      <x:c r="D96" s="32" t="n">
        <x:v>13475</x:v>
      </x:c>
      <x:c r="E96" s="32" t="n">
        <x:v>0</x:v>
      </x:c>
      <x:c r="F96" s="32" t="n">
        <x:v>5630</x:v>
      </x:c>
      <x:c r="G96" s="32" t="n">
        <x:v>26499</x:v>
      </x:c>
      <x:c r="H96" s="32" t="n">
        <x:v>26533</x:v>
      </x:c>
      <x:c r="I96" s="32" t="n">
        <x:v>45467</x:v>
      </x:c>
      <x:c r="J96" s="28" t="n">
        <x:f>H96/I96</x:f>
        <x:v>0.5835661028878087</x:v>
      </x:c>
      <x:c r="K96" s="32" t="n">
        <x:v>6884</x:v>
      </x:c>
      <x:c r="L96" s="32" t="n">
        <x:v>14467</x:v>
      </x:c>
      <x:c r="M96" s="32" t="n">
        <x:v>1847</x:v>
      </x:c>
      <x:c r="N96" s="32" t="n">
        <x:v>0</x:v>
      </x:c>
      <x:c r="O96" s="32" t="n">
        <x:v>23198</x:v>
      </x:c>
      <x:c r="P96" s="32" t="n">
        <x:v>23248</x:v>
      </x:c>
      <x:c r="Q96" s="28" t="n">
        <x:f>C96/G96</x:f>
        <x:v>0.2790293973357485</x:v>
      </x:c>
      <x:c r="R96" s="28" t="n">
        <x:f>K96/O96</x:f>
        <x:v>0.29674971980343134</x:v>
      </x:c>
      <x:c r="S96" s="30" t="n">
        <x:f>(R96-Q96)*100</x:f>
        <x:v>1.7720322467682847</x:v>
      </x:c>
      <x:c r="T96" s="28" t="n">
        <x:f>D96/G96</x:f>
        <x:v>0.5085097550850975</x:v>
      </x:c>
      <x:c r="U96" s="28" t="n">
        <x:f>L96/O96</x:f>
        <x:v>0.6236313475299595</x:v>
      </x:c>
      <x:c r="V96" s="30" t="n">
        <x:f>(U96-T96)*100</x:f>
        <x:v>11.512159244486197</x:v>
      </x:c>
      <x:c r="W96" s="28" t="n">
        <x:f>E96/G96</x:f>
        <x:v>0</x:v>
      </x:c>
      <x:c r="X96" s="28" t="n">
        <x:f>M96/O96</x:f>
        <x:v>0.07961893266660919</x:v>
      </x:c>
      <x:c r="Y96" s="30" t="n">
        <x:f>(X96-W96)*100</x:f>
        <x:v>7.961893266660919</x:v>
      </x:c>
      <x:c r="Z96" s="32" t="n">
        <x:f>K96-C96</x:f>
        <x:v>-510</x:v>
      </x:c>
      <x:c r="AA96" s="32" t="n">
        <x:f>P96-H96</x:f>
        <x:v>-3285</x:v>
      </x:c>
      <x:c r="AB96" s="28" t="n">
        <x:f>P96/H96-1</x:f>
        <x:v>-0.12380808804130705</x:v>
      </x:c>
      <x:c r="AC96" t="str">
        <x:f>IF(C96=MAX(C96:F96),"NDP",IF(D96=MAX(C96:F96),"Conservative",IF(E96=MAX(C96:F96),"Green","Other")))</x:f>
        <x:v>Conservative</x:v>
      </x:c>
      <x:c r="AD96" t="str">
        <x:f>IF(K96=MAX(K96:N96),"NDP",IF(L96=MAX(K96:N96),"Conservative",IF(M96=MAX(K96:N96),"Green","Other")))</x:f>
        <x:v>Conservative</x:v>
      </x:c>
      <x:c r="AE96" t="str">
        <x:f>IF(AC96=AD96,"No","Yes")</x:f>
        <x:v>No</x:v>
      </x:c>
      <x:c r="AF96" s="32" t="n">
        <x:f>LARGE(K96:N96,1)-LARGE(K96:N96,2)</x:f>
        <x:v>7583</x:v>
      </x:c>
      <x:c r="AG96" s="32" t="n">
        <x:f>P96-O96</x:f>
        <x:v>50</x:v>
      </x:c>
      <x:c r="AH96" t="str">
        <x:v>Green absent 2024</x:v>
      </x:c>
      <x:c r="AI96" t="str">
        <x:v>https://elections.bc.ca/docs/rpt/statement-of-votes-2024-provincial-election.pdf</x:v>
      </x:c>
      <x:c r="AJ96" t="str">
        <x:v>https://results.elections.bc.ca/</x:v>
      </x:c>
    </x:row>
    <x:row r="97" ht="19" customHeight="1">
      <x:c r="A97" t="str">
        <x:v>West Vancouver-Capilano</x:v>
      </x:c>
      <x:c r="B97" t="str">
        <x:v>North Shore / Sea-to-Sky</x:v>
      </x:c>
      <x:c r="C97" s="32" t="n">
        <x:v>7006</x:v>
      </x:c>
      <x:c r="D97" s="32" t="n">
        <x:v>12049</x:v>
      </x:c>
      <x:c r="E97" s="32" t="n">
        <x:v>1435</x:v>
      </x:c>
      <x:c r="F97" s="32" t="n">
        <x:v>5326</x:v>
      </x:c>
      <x:c r="G97" s="32" t="n">
        <x:v>25816</x:v>
      </x:c>
      <x:c r="H97" s="32" t="n">
        <x:v>25858</x:v>
      </x:c>
      <x:c r="I97" s="32" t="n">
        <x:v>44114</x:v>
      </x:c>
      <x:c r="J97" s="28" t="n">
        <x:f>H97/I97</x:f>
        <x:v>0.586163122818153</x:v>
      </x:c>
      <x:c r="K97" s="32" t="n">
        <x:v>4493</x:v>
      </x:c>
      <x:c r="L97" s="32" t="n">
        <x:v>14628</x:v>
      </x:c>
      <x:c r="M97" s="32" t="n">
        <x:v>2360</x:v>
      </x:c>
      <x:c r="N97" s="32" t="n">
        <x:v>386</x:v>
      </x:c>
      <x:c r="O97" s="32" t="n">
        <x:v>21867</x:v>
      </x:c>
      <x:c r="P97" s="32" t="n">
        <x:v>21903</x:v>
      </x:c>
      <x:c r="Q97" s="28" t="n">
        <x:f>C97/G97</x:f>
        <x:v>0.2713820886272079</x:v>
      </x:c>
      <x:c r="R97" s="28" t="n">
        <x:f>K97/O97</x:f>
        <x:v>0.20546942881968264</x:v>
      </x:c>
      <x:c r="S97" s="30" t="n">
        <x:f>(R97-Q97)*100</x:f>
        <x:v>-6.591265980752528</x:v>
      </x:c>
      <x:c r="T97" s="28" t="n">
        <x:f>D97/G97</x:f>
        <x:v>0.4667260613572978</x:v>
      </x:c>
      <x:c r="U97" s="28" t="n">
        <x:f>L97/O97</x:f>
        <x:v>0.6689532171765674</x:v>
      </x:c>
      <x:c r="V97" s="30" t="n">
        <x:f>(U97-T97)*100</x:f>
        <x:v>20.222715581926963</x:v>
      </x:c>
      <x:c r="W97" s="28" t="n">
        <x:f>E97/G97</x:f>
        <x:v>0.05558568329718004</x:v>
      </x:c>
      <x:c r="X97" s="28" t="n">
        <x:f>M97/O97</x:f>
        <x:v>0.10792518406731605</x:v>
      </x:c>
      <x:c r="Y97" s="30" t="n">
        <x:f>(X97-W97)*100</x:f>
        <x:v>5.233950077013601</x:v>
      </x:c>
      <x:c r="Z97" s="32" t="n">
        <x:f>K97-C97</x:f>
        <x:v>-2513</x:v>
      </x:c>
      <x:c r="AA97" s="32" t="n">
        <x:f>P97-H97</x:f>
        <x:v>-3955</x:v>
      </x:c>
      <x:c r="AB97" s="28" t="n">
        <x:f>P97/H97-1</x:f>
        <x:v>-0.15295073091499733</x:v>
      </x:c>
      <x:c r="AC97" t="str">
        <x:f>IF(C97=MAX(C97:F97),"NDP",IF(D97=MAX(C97:F97),"Conservative",IF(E97=MAX(C97:F97),"Green","Other")))</x:f>
        <x:v>Conservative</x:v>
      </x:c>
      <x:c r="AD97" t="str">
        <x:f>IF(K97=MAX(K97:N97),"NDP",IF(L97=MAX(K97:N97),"Conservative",IF(M97=MAX(K97:N97),"Green","Other")))</x:f>
        <x:v>Conservative</x:v>
      </x:c>
      <x:c r="AE97" t="str">
        <x:f>IF(AC97=AD97,"No","Yes")</x:f>
        <x:v>No</x:v>
      </x:c>
      <x:c r="AF97" s="32" t="n">
        <x:f>LARGE(K97:N97,1)-LARGE(K97:N97,2)</x:f>
        <x:v>10135</x:v>
      </x:c>
      <x:c r="AG97" s="32" t="n">
        <x:f>P97-O97</x:f>
        <x:v>36</x:v>
      </x:c>
      <x:c r="AH97" t="str">
        <x:v>—</x:v>
      </x:c>
      <x:c r="AI97" t="str">
        <x:v>https://elections.bc.ca/docs/rpt/statement-of-votes-2024-provincial-election.pdf</x:v>
      </x:c>
      <x:c r="AJ97" t="str">
        <x:v>https://results.elections.bc.ca/</x:v>
      </x:c>
    </x:row>
    <x:row r="98" ht="19" customHeight="1">
      <x:c r="A98" t="str">
        <x:v>West Vancouver-Sea to Sky</x:v>
      </x:c>
      <x:c r="B98" t="str">
        <x:v>North Shore / Sea-to-Sky</x:v>
      </x:c>
      <x:c r="C98" s="32" t="n">
        <x:v>7213</x:v>
      </x:c>
      <x:c r="D98" s="32" t="n">
        <x:v>9762</x:v>
      </x:c>
      <x:c r="E98" s="32" t="n">
        <x:v>10438</x:v>
      </x:c>
      <x:c r="F98" s="32" t="n">
        <x:v>0</x:v>
      </x:c>
      <x:c r="G98" s="32" t="n">
        <x:v>27413</x:v>
      </x:c>
      <x:c r="H98" s="32" t="n">
        <x:v>27453</x:v>
      </x:c>
      <x:c r="I98" s="32" t="n">
        <x:v>44308</x:v>
      </x:c>
      <x:c r="J98" s="28" t="n">
        <x:f>H98/I98</x:f>
        <x:v>0.6195946555926695</x:v>
      </x:c>
      <x:c r="K98" s="32" t="n">
        <x:v>2283</x:v>
      </x:c>
      <x:c r="L98" s="32" t="n">
        <x:v>8478</x:v>
      </x:c>
      <x:c r="M98" s="32" t="n">
        <x:v>10503</x:v>
      </x:c>
      <x:c r="N98" s="32" t="n">
        <x:v>818</x:v>
      </x:c>
      <x:c r="O98" s="32" t="n">
        <x:v>22082</x:v>
      </x:c>
      <x:c r="P98" s="32" t="n">
        <x:v>22104</x:v>
      </x:c>
      <x:c r="Q98" s="28" t="n">
        <x:f>C98/G98</x:f>
        <x:v>0.2631233356436727</x:v>
      </x:c>
      <x:c r="R98" s="28" t="n">
        <x:f>K98/O98</x:f>
        <x:v>0.10338737433203514</x:v>
      </x:c>
      <x:c r="S98" s="30" t="n">
        <x:f>(R98-Q98)*100</x:f>
        <x:v>-15.973596131163752</x:v>
      </x:c>
      <x:c r="T98" s="28" t="n">
        <x:f>D98/G98</x:f>
        <x:v>0.35610841571517166</x:v>
      </x:c>
      <x:c r="U98" s="28" t="n">
        <x:f>L98/O98</x:f>
        <x:v>0.3839326147993841</x:v>
      </x:c>
      <x:c r="V98" s="30" t="n">
        <x:f>(U98-T98)*100</x:f>
        <x:v>2.7824199084212466</x:v>
      </x:c>
      <x:c r="W98" s="28" t="n">
        <x:f>E98/G98</x:f>
        <x:v>0.38076824864115566</x:v>
      </x:c>
      <x:c r="X98" s="28" t="n">
        <x:f>M98/O98</x:f>
        <x:v>0.4756362648310841</x:v>
      </x:c>
      <x:c r="Y98" s="30" t="n">
        <x:f>(X98-W98)*100</x:f>
        <x:v>9.486801618992846</x:v>
      </x:c>
      <x:c r="Z98" s="32" t="n">
        <x:f>K98-C98</x:f>
        <x:v>-4930</x:v>
      </x:c>
      <x:c r="AA98" s="32" t="n">
        <x:f>P98-H98</x:f>
        <x:v>-5349</x:v>
      </x:c>
      <x:c r="AB98" s="28" t="n">
        <x:f>P98/H98-1</x:f>
        <x:v>-0.19484209376024475</x:v>
      </x:c>
      <x:c r="AC98" t="str">
        <x:f>IF(C98=MAX(C98:F98),"NDP",IF(D98=MAX(C98:F98),"Conservative",IF(E98=MAX(C98:F98),"Green","Other")))</x:f>
        <x:v>Green</x:v>
      </x:c>
      <x:c r="AD98" t="str">
        <x:f>IF(K98=MAX(K98:N98),"NDP",IF(L98=MAX(K98:N98),"Conservative",IF(M98=MAX(K98:N98),"Green","Other")))</x:f>
        <x:v>Green</x:v>
      </x:c>
      <x:c r="AE98" t="str">
        <x:f>IF(AC98=AD98,"No","Yes")</x:f>
        <x:v>No</x:v>
      </x:c>
      <x:c r="AF98" s="32" t="n">
        <x:f>LARGE(K98:N98,1)-LARGE(K98:N98,2)</x:f>
        <x:v>2025</x:v>
      </x:c>
      <x:c r="AG98" s="32" t="n">
        <x:f>P98-O98</x:f>
        <x:v>22</x:v>
      </x:c>
      <x:c r="AH98" t="str">
        <x:v>—</x:v>
      </x:c>
      <x:c r="AI98" t="str">
        <x:v>https://elections.bc.ca/docs/rpt/statement-of-votes-2024-provincial-election.pdf</x:v>
      </x:c>
      <x:c r="AJ98" t="str">
        <x:v>https://results.elections.bc.ca/</x:v>
      </x:c>
    </x:row>
  </x:sheetData>
  <x:mergeCells>
    <x:mergeCell ref="A1:J2"/>
    <x:mergeCell ref="A3:J3"/>
  </x:mergeCells>
  <x:conditionalFormatting sqref="S6:S98">
    <x:cfRule type="colorScale" priority="1">
      <x:colorScale>
        <x:cfvo type="min"/>
        <x:cfvo type="percentile" val="50"/>
        <x:cfvo type="max"/>
        <x:color rgb="FFF6C7CD"/>
        <x:color rgb="FFFFFFFF"/>
        <x:color rgb="FFCDEDE6"/>
      </x:colorScale>
    </x:cfRule>
  </x:conditionalFormatting>
  <x:conditionalFormatting sqref="Y6:Y98">
    <x:cfRule type="colorScale" priority="2">
      <x:colorScale>
        <x:cfvo type="min"/>
        <x:cfvo type="percentile" val="50"/>
        <x:cfvo type="max"/>
        <x:color rgb="FFF9DDDD"/>
        <x:color rgb="FFFFFFFF"/>
        <x:color rgb="FFBFE8D7"/>
      </x:colorScale>
    </x:cfRule>
  </x:conditionalFormatting>
  <x:conditionalFormatting sqref="AE6:AE98">
    <x:cfRule type="expression" dxfId="0" priority="3">
      <x:formula>AE6="Yes"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3" customHeight="1">
      <x:c r="A1" s="8" t="str">
        <x:v>Regional patterns | weighted vote share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2" ht="23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 ht="26" customHeight="1">
      <x:c r="A3" s="18" t="str">
        <x:v>Regional groups are analytical labels, not Elections BC official regions. Shares weighted by valid votes in each year.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5" ht="34" customHeight="1">
      <x:c r="A5" s="24" t="str">
        <x:v>Analytical region</x:v>
      </x:c>
      <x:c r="B5" s="24" t="str">
        <x:v>Ridings</x:v>
      </x:c>
      <x:c r="C5" s="24" t="str">
        <x:v>2024 valid</x:v>
      </x:c>
      <x:c r="D5" s="24" t="str">
        <x:v>2026 valid</x:v>
      </x:c>
      <x:c r="E5" s="24" t="str">
        <x:v>NDP 2024</x:v>
      </x:c>
      <x:c r="F5" s="24" t="str">
        <x:v>NDP 2026</x:v>
      </x:c>
      <x:c r="G5" s="24" t="str">
        <x:v>NDP 2024 %</x:v>
      </x:c>
      <x:c r="H5" s="24" t="str">
        <x:v>NDP 2026 %</x:v>
      </x:c>
      <x:c r="I5" s="24" t="str">
        <x:v>NDP swing pp</x:v>
      </x:c>
      <x:c r="J5" s="24" t="str">
        <x:v>2024 ballots</x:v>
      </x:c>
      <x:c r="K5" s="24" t="str">
        <x:v>2026 ballots</x:v>
      </x:c>
      <x:c r="L5" s="24" t="str">
        <x:v>Ballot change %</x:v>
      </x:c>
      <x:c r="M5" s="24" t="str">
        <x:v>NDP leading 2024</x:v>
      </x:c>
      <x:c r="N5" s="24" t="str">
        <x:v>NDP leading 2026</x:v>
      </x:c>
      <x:c r="O5" s="24" t="str">
        <x:v>NDP lead change</x:v>
      </x:c>
    </x:row>
    <x:row r="6">
      <x:c r="A6" t="str">
        <x:v>Burnaby / Tri-Cities / New West</x:v>
      </x:c>
      <x:c r="B6" s="32" t="n">
        <x:f>COUNTIF('Riding comparison'!$B$6:$B$98,A6)</x:f>
        <x:v>10</x:v>
      </x:c>
      <x:c r="C6" s="32" t="n">
        <x:f>SUMIF('Riding comparison'!$B$6:$B$98,A6,'Riding comparison'!$G$6:$G$98)</x:f>
        <x:v>208482</x:v>
      </x:c>
      <x:c r="D6" s="32" t="n">
        <x:f>SUMIF('Riding comparison'!$B$6:$B$98,A6,'Riding comparison'!$O$6:$O$98)</x:f>
        <x:v>177372</x:v>
      </x:c>
      <x:c r="E6" s="32" t="n">
        <x:f>SUMIF('Riding comparison'!$B$6:$B$98,A6,'Riding comparison'!$C$6:$C$98)</x:f>
        <x:v>112281</x:v>
      </x:c>
      <x:c r="F6" s="32" t="n">
        <x:f>SUMIF('Riding comparison'!$B$6:$B$98,A6,'Riding comparison'!$K$6:$K$98)</x:f>
        <x:v>78815</x:v>
      </x:c>
      <x:c r="G6" s="28" t="n">
        <x:f>E6/C6</x:f>
        <x:v>0.5385644803867959</x:v>
      </x:c>
      <x:c r="H6" s="28" t="n">
        <x:f>F6/D6</x:f>
        <x:v>0.44434860068105453</x:v>
      </x:c>
      <x:c r="I6" s="30" t="n">
        <x:f>(H6-G6)*100</x:f>
        <x:v>-9.42158797057414</x:v>
      </x:c>
      <x:c r="J6" s="32" t="n">
        <x:f>SUMIF('Riding comparison'!$B$6:$B$98,A6,'Riding comparison'!$H$6:$H$98)</x:f>
        <x:v>209058</x:v>
      </x:c>
      <x:c r="K6" s="32" t="n">
        <x:f>SUMIF('Riding comparison'!$B$6:$B$98,A6,'Riding comparison'!$P$6:$P$98)</x:f>
        <x:v>178280</x:v>
      </x:c>
      <x:c r="L6" s="28" t="n">
        <x:f>K6/J6-1</x:f>
        <x:v>-0.1472223019449148</x:v>
      </x:c>
      <x:c r="M6" s="32" t="n">
        <x:f>COUNTIFS('Riding comparison'!$B$6:$B$98,A6,'Riding comparison'!$AC$6:$AC$98,"NDP")</x:f>
        <x:v>10</x:v>
      </x:c>
      <x:c r="N6" s="32" t="n">
        <x:f>COUNTIFS('Riding comparison'!$B$6:$B$98,A6,'Riding comparison'!$AD$6:$AD$98,"NDP")</x:f>
        <x:v>5</x:v>
      </x:c>
      <x:c r="O6" s="32" t="n">
        <x:f>N6-M6</x:f>
        <x:v>-5</x:v>
      </x:c>
    </x:row>
    <x:row r="7">
      <x:c r="A7" t="str">
        <x:v>Fraser Valley / Ridge / Langley</x:v>
      </x:c>
      <x:c r="B7" s="32" t="n">
        <x:f>COUNTIF('Riding comparison'!$B$6:$B$98,A7)</x:f>
        <x:v>10</x:v>
      </x:c>
      <x:c r="C7" s="32" t="n">
        <x:f>SUMIF('Riding comparison'!$B$6:$B$98,A7,'Riding comparison'!$G$6:$G$98)</x:f>
        <x:v>236895</x:v>
      </x:c>
      <x:c r="D7" s="32" t="n">
        <x:f>SUMIF('Riding comparison'!$B$6:$B$98,A7,'Riding comparison'!$O$6:$O$98)</x:f>
        <x:v>200243</x:v>
      </x:c>
      <x:c r="E7" s="32" t="n">
        <x:f>SUMIF('Riding comparison'!$B$6:$B$98,A7,'Riding comparison'!$C$6:$C$98)</x:f>
        <x:v>101287</x:v>
      </x:c>
      <x:c r="F7" s="32" t="n">
        <x:f>SUMIF('Riding comparison'!$B$6:$B$98,A7,'Riding comparison'!$K$6:$K$98)</x:f>
        <x:v>68715</x:v>
      </x:c>
      <x:c r="G7" s="28" t="n">
        <x:f>E7/C7</x:f>
        <x:v>0.4275607336583718</x:v>
      </x:c>
      <x:c r="H7" s="28" t="n">
        <x:f>F7/D7</x:f>
        <x:v>0.3431580629535115</x:v>
      </x:c>
      <x:c r="I7" s="30" t="n">
        <x:f>(H7-G7)*100</x:f>
        <x:v>-8.440267070486035</x:v>
      </x:c>
      <x:c r="J7" s="32" t="n">
        <x:f>SUMIF('Riding comparison'!$B$6:$B$98,A7,'Riding comparison'!$H$6:$H$98)</x:f>
        <x:v>237457</x:v>
      </x:c>
      <x:c r="K7" s="32" t="n">
        <x:f>SUMIF('Riding comparison'!$B$6:$B$98,A7,'Riding comparison'!$P$6:$P$98)</x:f>
        <x:v>200712</x:v>
      </x:c>
      <x:c r="L7" s="28" t="n">
        <x:f>K7/J7-1</x:f>
        <x:v>-0.15474380624702577</x:v>
      </x:c>
      <x:c r="M7" s="32" t="n">
        <x:f>COUNTIFS('Riding comparison'!$B$6:$B$98,A7,'Riding comparison'!$AC$6:$AC$98,"NDP")</x:f>
        <x:v>1</x:v>
      </x:c>
      <x:c r="N7" s="32" t="n">
        <x:f>COUNTIFS('Riding comparison'!$B$6:$B$98,A7,'Riding comparison'!$AD$6:$AD$98,"NDP")</x:f>
        <x:v>0</x:v>
      </x:c>
      <x:c r="O7" s="32" t="n">
        <x:f>N7-M7</x:f>
        <x:v>-1</x:v>
      </x:c>
    </x:row>
    <x:row r="8">
      <x:c r="A8" t="str">
        <x:v>North / Central Interior / Coast</x:v>
      </x:c>
      <x:c r="B8" s="32" t="n">
        <x:f>COUNTIF('Riding comparison'!$B$6:$B$98,A8)</x:f>
        <x:v>11</x:v>
      </x:c>
      <x:c r="C8" s="32" t="n">
        <x:f>SUMIF('Riding comparison'!$B$6:$B$98,A8,'Riding comparison'!$G$6:$G$98)</x:f>
        <x:v>159956</x:v>
      </x:c>
      <x:c r="D8" s="32" t="n">
        <x:f>SUMIF('Riding comparison'!$B$6:$B$98,A8,'Riding comparison'!$O$6:$O$98)</x:f>
        <x:v>133375</x:v>
      </x:c>
      <x:c r="E8" s="32" t="n">
        <x:f>SUMIF('Riding comparison'!$B$6:$B$98,A8,'Riding comparison'!$C$6:$C$98)</x:f>
        <x:v>45848</x:v>
      </x:c>
      <x:c r="F8" s="32" t="n">
        <x:f>SUMIF('Riding comparison'!$B$6:$B$98,A8,'Riding comparison'!$K$6:$K$98)</x:f>
        <x:v>33933</x:v>
      </x:c>
      <x:c r="G8" s="28" t="n">
        <x:f>E8/C8</x:f>
        <x:v>0.28662882292630476</x:v>
      </x:c>
      <x:c r="H8" s="28" t="n">
        <x:f>F8/D8</x:f>
        <x:v>0.2544179943767573</x:v>
      </x:c>
      <x:c r="I8" s="30" t="n">
        <x:f>(H8-G8)*100</x:f>
        <x:v>-3.2210828549547488</x:v>
      </x:c>
      <x:c r="J8" s="32" t="n">
        <x:f>SUMIF('Riding comparison'!$B$6:$B$98,A8,'Riding comparison'!$H$6:$H$98)</x:f>
        <x:v>160321</x:v>
      </x:c>
      <x:c r="K8" s="32" t="n">
        <x:f>SUMIF('Riding comparison'!$B$6:$B$98,A8,'Riding comparison'!$P$6:$P$98)</x:f>
        <x:v>133994</x:v>
      </x:c>
      <x:c r="L8" s="28" t="n">
        <x:f>K8/J8-1</x:f>
        <x:v>-0.16421429507051477</x:v>
      </x:c>
      <x:c r="M8" s="32" t="n">
        <x:f>COUNTIFS('Riding comparison'!$B$6:$B$98,A8,'Riding comparison'!$AC$6:$AC$98,"NDP")</x:f>
        <x:v>1</x:v>
      </x:c>
      <x:c r="N8" s="32" t="n">
        <x:f>COUNTIFS('Riding comparison'!$B$6:$B$98,A8,'Riding comparison'!$AD$6:$AD$98,"NDP")</x:f>
        <x:v>1</x:v>
      </x:c>
      <x:c r="O8" s="32" t="n">
        <x:f>N8-M8</x:f>
        <x:v>0</x:v>
      </x:c>
    </x:row>
    <x:row r="9">
      <x:c r="A9" t="str">
        <x:v>North Shore / Sea-to-Sky</x:v>
      </x:c>
      <x:c r="B9" s="32" t="n">
        <x:f>COUNTIF('Riding comparison'!$B$6:$B$98,A9)</x:f>
        <x:v>4</x:v>
      </x:c>
      <x:c r="C9" s="32" t="n">
        <x:f>SUMIF('Riding comparison'!$B$6:$B$98,A9,'Riding comparison'!$G$6:$G$98)</x:f>
        <x:v>109782</x:v>
      </x:c>
      <x:c r="D9" s="32" t="n">
        <x:f>SUMIF('Riding comparison'!$B$6:$B$98,A9,'Riding comparison'!$O$6:$O$98)</x:f>
        <x:v>92141</x:v>
      </x:c>
      <x:c r="E9" s="32" t="n">
        <x:f>SUMIF('Riding comparison'!$B$6:$B$98,A9,'Riding comparison'!$C$6:$C$98)</x:f>
        <x:v>47188</x:v>
      </x:c>
      <x:c r="F9" s="32" t="n">
        <x:f>SUMIF('Riding comparison'!$B$6:$B$98,A9,'Riding comparison'!$K$6:$K$98)</x:f>
        <x:v>26915</x:v>
      </x:c>
      <x:c r="G9" s="28" t="n">
        <x:f>E9/C9</x:f>
        <x:v>0.429833670364905</x:v>
      </x:c>
      <x:c r="H9" s="28" t="n">
        <x:f>F9/D9</x:f>
        <x:v>0.2921066626149054</x:v>
      </x:c>
      <x:c r="I9" s="30" t="n">
        <x:f>(H9-G9)*100</x:f>
        <x:v>-13.772700774999958</x:v>
      </x:c>
      <x:c r="J9" s="32" t="n">
        <x:f>SUMIF('Riding comparison'!$B$6:$B$98,A9,'Riding comparison'!$H$6:$H$98)</x:f>
        <x:v>110010</x:v>
      </x:c>
      <x:c r="K9" s="32" t="n">
        <x:f>SUMIF('Riding comparison'!$B$6:$B$98,A9,'Riding comparison'!$P$6:$P$98)</x:f>
        <x:v>92320</x:v>
      </x:c>
      <x:c r="L9" s="28" t="n">
        <x:f>K9/J9-1</x:f>
        <x:v>-0.16080356331242618</x:v>
      </x:c>
      <x:c r="M9" s="32" t="n">
        <x:f>COUNTIFS('Riding comparison'!$B$6:$B$98,A9,'Riding comparison'!$AC$6:$AC$98,"NDP")</x:f>
        <x:v>2</x:v>
      </x:c>
      <x:c r="N9" s="32" t="n">
        <x:f>COUNTIFS('Riding comparison'!$B$6:$B$98,A9,'Riding comparison'!$AD$6:$AD$98,"NDP")</x:f>
        <x:v>1</x:v>
      </x:c>
      <x:c r="O9" s="32" t="n">
        <x:f>N9-M9</x:f>
        <x:v>-1</x:v>
      </x:c>
    </x:row>
    <x:row r="10">
      <x:c r="A10" t="str">
        <x:v>Richmond / Delta</x:v>
      </x:c>
      <x:c r="B10" s="32" t="n">
        <x:f>COUNTIF('Riding comparison'!$B$6:$B$98,A10)</x:f>
        <x:v>6</x:v>
      </x:c>
      <x:c r="C10" s="32" t="n">
        <x:f>SUMIF('Riding comparison'!$B$6:$B$98,A10,'Riding comparison'!$G$6:$G$98)</x:f>
        <x:v>123467</x:v>
      </x:c>
      <x:c r="D10" s="32" t="n">
        <x:f>SUMIF('Riding comparison'!$B$6:$B$98,A10,'Riding comparison'!$O$6:$O$98)</x:f>
        <x:v>105421</x:v>
      </x:c>
      <x:c r="E10" s="32" t="n">
        <x:f>SUMIF('Riding comparison'!$B$6:$B$98,A10,'Riding comparison'!$C$6:$C$98)</x:f>
        <x:v>53737</x:v>
      </x:c>
      <x:c r="F10" s="32" t="n">
        <x:f>SUMIF('Riding comparison'!$B$6:$B$98,A10,'Riding comparison'!$K$6:$K$98)</x:f>
        <x:v>35514</x:v>
      </x:c>
      <x:c r="G10" s="28" t="n">
        <x:f>E10/C10</x:f>
        <x:v>0.4352337061724995</x:v>
      </x:c>
      <x:c r="H10" s="28" t="n">
        <x:f>F10/D10</x:f>
        <x:v>0.3368778516614337</x:v>
      </x:c>
      <x:c r="I10" s="30" t="n">
        <x:f>(H10-G10)*100</x:f>
        <x:v>-9.835585451106581</x:v>
      </x:c>
      <x:c r="J10" s="32" t="n">
        <x:f>SUMIF('Riding comparison'!$B$6:$B$98,A10,'Riding comparison'!$H$6:$H$98)</x:f>
        <x:v>123836</x:v>
      </x:c>
      <x:c r="K10" s="32" t="n">
        <x:f>SUMIF('Riding comparison'!$B$6:$B$98,A10,'Riding comparison'!$P$6:$P$98)</x:f>
        <x:v>105743</x:v>
      </x:c>
      <x:c r="L10" s="28" t="n">
        <x:f>K10/J10-1</x:f>
        <x:v>-0.14610452533996576</x:v>
      </x:c>
      <x:c r="M10" s="32" t="n">
        <x:f>COUNTIFS('Riding comparison'!$B$6:$B$98,A10,'Riding comparison'!$AC$6:$AC$98,"NDP")</x:f>
        <x:v>2</x:v>
      </x:c>
      <x:c r="N10" s="32" t="n">
        <x:f>COUNTIFS('Riding comparison'!$B$6:$B$98,A10,'Riding comparison'!$AD$6:$AD$98,"NDP")</x:f>
        <x:v>0</x:v>
      </x:c>
      <x:c r="O10" s="32" t="n">
        <x:f>N10-M10</x:f>
        <x:v>-2</x:v>
      </x:c>
    </x:row>
    <x:row r="11">
      <x:c r="A11" t="str">
        <x:v>Southern Interior / Kootenays / Coast</x:v>
      </x:c>
      <x:c r="B11" s="32" t="n">
        <x:f>COUNTIF('Riding comparison'!$B$6:$B$98,A11)</x:f>
        <x:v>15</x:v>
      </x:c>
      <x:c r="C11" s="32" t="n">
        <x:f>SUMIF('Riding comparison'!$B$6:$B$98,A11,'Riding comparison'!$G$6:$G$98)</x:f>
        <x:v>382022</x:v>
      </x:c>
      <x:c r="D11" s="32" t="n">
        <x:f>SUMIF('Riding comparison'!$B$6:$B$98,A11,'Riding comparison'!$O$6:$O$98)</x:f>
        <x:v>336066</x:v>
      </x:c>
      <x:c r="E11" s="32" t="n">
        <x:f>SUMIF('Riding comparison'!$B$6:$B$98,A11,'Riding comparison'!$C$6:$C$98)</x:f>
        <x:v>145876</x:v>
      </x:c>
      <x:c r="F11" s="32" t="n">
        <x:f>SUMIF('Riding comparison'!$B$6:$B$98,A11,'Riding comparison'!$K$6:$K$98)</x:f>
        <x:v>121719</x:v>
      </x:c>
      <x:c r="G11" s="28" t="n">
        <x:f>E11/C11</x:f>
        <x:v>0.38185235405290796</x:v>
      </x:c>
      <x:c r="H11" s="28" t="n">
        <x:f>F11/D11</x:f>
        <x:v>0.36218778454232203</x:v>
      </x:c>
      <x:c r="I11" s="30" t="n">
        <x:f>(H11-G11)*100</x:f>
        <x:v>-1.9664569510585928</x:v>
      </x:c>
      <x:c r="J11" s="32" t="n">
        <x:f>SUMIF('Riding comparison'!$B$6:$B$98,A11,'Riding comparison'!$H$6:$H$98)</x:f>
        <x:v>382573</x:v>
      </x:c>
      <x:c r="K11" s="32" t="n">
        <x:f>SUMIF('Riding comparison'!$B$6:$B$98,A11,'Riding comparison'!$P$6:$P$98)</x:f>
        <x:v>336678</x:v>
      </x:c>
      <x:c r="L11" s="28" t="n">
        <x:f>K11/J11-1</x:f>
        <x:v>-0.11996403300807945</x:v>
      </x:c>
      <x:c r="M11" s="32" t="n">
        <x:f>COUNTIFS('Riding comparison'!$B$6:$B$98,A11,'Riding comparison'!$AC$6:$AC$98,"NDP")</x:f>
        <x:v>4</x:v>
      </x:c>
      <x:c r="N11" s="32" t="n">
        <x:f>COUNTIFS('Riding comparison'!$B$6:$B$98,A11,'Riding comparison'!$AD$6:$AD$98,"NDP")</x:f>
        <x:v>3</x:v>
      </x:c>
      <x:c r="O11" s="32" t="n">
        <x:f>N11-M11</x:f>
        <x:v>-1</x:v>
      </x:c>
    </x:row>
    <x:row r="12">
      <x:c r="A12" t="str">
        <x:v>Surrey</x:v>
      </x:c>
      <x:c r="B12" s="32" t="n">
        <x:f>COUNTIF('Riding comparison'!$B$6:$B$98,A12)</x:f>
        <x:v>10</x:v>
      </x:c>
      <x:c r="C12" s="32" t="n">
        <x:f>SUMIF('Riding comparison'!$B$6:$B$98,A12,'Riding comparison'!$G$6:$G$98)</x:f>
        <x:v>193843</x:v>
      </x:c>
      <x:c r="D12" s="32" t="n">
        <x:f>SUMIF('Riding comparison'!$B$6:$B$98,A12,'Riding comparison'!$O$6:$O$98)</x:f>
        <x:v>165576</x:v>
      </x:c>
      <x:c r="E12" s="32" t="n">
        <x:f>SUMIF('Riding comparison'!$B$6:$B$98,A12,'Riding comparison'!$C$6:$C$98)</x:f>
        <x:v>89650</x:v>
      </x:c>
      <x:c r="F12" s="32" t="n">
        <x:f>SUMIF('Riding comparison'!$B$6:$B$98,A12,'Riding comparison'!$K$6:$K$98)</x:f>
        <x:v>55977</x:v>
      </x:c>
      <x:c r="G12" s="28" t="n">
        <x:f>E12/C12</x:f>
        <x:v>0.4624876833313558</x:v>
      </x:c>
      <x:c r="H12" s="28" t="n">
        <x:f>F12/D12</x:f>
        <x:v>0.338074358602696</x:v>
      </x:c>
      <x:c r="I12" s="30" t="n">
        <x:f>(H12-G12)*100</x:f>
        <x:v>-12.441332472865978</x:v>
      </x:c>
      <x:c r="J12" s="32" t="n">
        <x:f>SUMIF('Riding comparison'!$B$6:$B$98,A12,'Riding comparison'!$H$6:$H$98)</x:f>
        <x:v>194309</x:v>
      </x:c>
      <x:c r="K12" s="32" t="n">
        <x:f>SUMIF('Riding comparison'!$B$6:$B$98,A12,'Riding comparison'!$P$6:$P$98)</x:f>
        <x:v>165877</x:v>
      </x:c>
      <x:c r="L12" s="28" t="n">
        <x:f>K12/J12-1</x:f>
        <x:v>-0.14632363915207225</x:v>
      </x:c>
      <x:c r="M12" s="32" t="n">
        <x:f>COUNTIFS('Riding comparison'!$B$6:$B$98,A12,'Riding comparison'!$AC$6:$AC$98,"NDP")</x:f>
        <x:v>4</x:v>
      </x:c>
      <x:c r="N12" s="32" t="n">
        <x:f>COUNTIFS('Riding comparison'!$B$6:$B$98,A12,'Riding comparison'!$AD$6:$AD$98,"NDP")</x:f>
        <x:v>0</x:v>
      </x:c>
      <x:c r="O12" s="32" t="n">
        <x:f>N12-M12</x:f>
        <x:v>-4</x:v>
      </x:c>
    </x:row>
    <x:row r="13">
      <x:c r="A13" t="str">
        <x:v>Vancouver</x:v>
      </x:c>
      <x:c r="B13" s="32" t="n">
        <x:f>COUNTIF('Riding comparison'!$B$6:$B$98,A13)</x:f>
        <x:v>12</x:v>
      </x:c>
      <x:c r="C13" s="32" t="n">
        <x:f>SUMIF('Riding comparison'!$B$6:$B$98,A13,'Riding comparison'!$G$6:$G$98)</x:f>
        <x:v>252446</x:v>
      </x:c>
      <x:c r="D13" s="32" t="n">
        <x:f>SUMIF('Riding comparison'!$B$6:$B$98,A13,'Riding comparison'!$O$6:$O$98)</x:f>
        <x:v>208109</x:v>
      </x:c>
      <x:c r="E13" s="32" t="n">
        <x:f>SUMIF('Riding comparison'!$B$6:$B$98,A13,'Riding comparison'!$C$6:$C$98)</x:f>
        <x:v>147200</x:v>
      </x:c>
      <x:c r="F13" s="32" t="n">
        <x:f>SUMIF('Riding comparison'!$B$6:$B$98,A13,'Riding comparison'!$K$6:$K$98)</x:f>
        <x:v>94673</x:v>
      </x:c>
      <x:c r="G13" s="28" t="n">
        <x:f>E13/C13</x:f>
        <x:v>0.58309499853434</x:v>
      </x:c>
      <x:c r="H13" s="28" t="n">
        <x:f>F13/D13</x:f>
        <x:v>0.45492025813395864</x:v>
      </x:c>
      <x:c r="I13" s="30" t="n">
        <x:f>(H13-G13)*100</x:f>
        <x:v>-12.817474040038135</x:v>
      </x:c>
      <x:c r="J13" s="32" t="n">
        <x:f>SUMIF('Riding comparison'!$B$6:$B$98,A13,'Riding comparison'!$H$6:$H$98)</x:f>
        <x:v>253019</x:v>
      </x:c>
      <x:c r="K13" s="32" t="n">
        <x:f>SUMIF('Riding comparison'!$B$6:$B$98,A13,'Riding comparison'!$P$6:$P$98)</x:f>
        <x:v>208582</x:v>
      </x:c>
      <x:c r="L13" s="28" t="n">
        <x:f>K13/J13-1</x:f>
        <x:v>-0.17562712681656323</x:v>
      </x:c>
      <x:c r="M13" s="32" t="n">
        <x:f>COUNTIFS('Riding comparison'!$B$6:$B$98,A13,'Riding comparison'!$AC$6:$AC$98,"NDP")</x:f>
        <x:v>11</x:v>
      </x:c>
      <x:c r="N13" s="32" t="n">
        <x:f>COUNTIFS('Riding comparison'!$B$6:$B$98,A13,'Riding comparison'!$AD$6:$AD$98,"NDP")</x:f>
        <x:v>8</x:v>
      </x:c>
      <x:c r="O13" s="32" t="n">
        <x:f>N13-M13</x:f>
        <x:v>-3</x:v>
      </x:c>
    </x:row>
    <x:row r="14">
      <x:c r="A14" t="str">
        <x:v>Vancouver Island / Gulf Islands</x:v>
      </x:c>
      <x:c r="B14" s="32" t="n">
        <x:f>COUNTIF('Riding comparison'!$B$6:$B$98,A14)</x:f>
        <x:v>15</x:v>
      </x:c>
      <x:c r="C14" s="32" t="n">
        <x:f>SUMIF('Riding comparison'!$B$6:$B$98,A14,'Riding comparison'!$G$6:$G$98)</x:f>
        <x:v>438448</x:v>
      </x:c>
      <x:c r="D14" s="32" t="n">
        <x:f>SUMIF('Riding comparison'!$B$6:$B$98,A14,'Riding comparison'!$O$6:$O$98)</x:f>
        <x:v>376830</x:v>
      </x:c>
      <x:c r="E14" s="32" t="n">
        <x:f>SUMIF('Riding comparison'!$B$6:$B$98,A14,'Riding comparison'!$C$6:$C$98)</x:f>
        <x:v>201512</x:v>
      </x:c>
      <x:c r="F14" s="32" t="n">
        <x:f>SUMIF('Riding comparison'!$B$6:$B$98,A14,'Riding comparison'!$K$6:$K$98)</x:f>
        <x:v>154550</x:v>
      </x:c>
      <x:c r="G14" s="28" t="n">
        <x:f>E14/C14</x:f>
        <x:v>0.45960296317921395</x:v>
      </x:c>
      <x:c r="H14" s="28" t="n">
        <x:f>F14/D14</x:f>
        <x:v>0.410131889711541</x:v>
      </x:c>
      <x:c r="I14" s="30" t="n">
        <x:f>(H14-G14)*100</x:f>
        <x:v>-4.947107346767293</x:v>
      </x:c>
      <x:c r="J14" s="32" t="n">
        <x:f>SUMIF('Riding comparison'!$B$6:$B$98,A14,'Riding comparison'!$H$6:$H$98)</x:f>
        <x:v>439075</x:v>
      </x:c>
      <x:c r="K14" s="32" t="n">
        <x:f>SUMIF('Riding comparison'!$B$6:$B$98,A14,'Riding comparison'!$P$6:$P$98)</x:f>
        <x:v>377364</x:v>
      </x:c>
      <x:c r="L14" s="28" t="n">
        <x:f>K14/J14-1</x:f>
        <x:v>-0.14054774241302737</x:v>
      </x:c>
      <x:c r="M14" s="32" t="n">
        <x:f>COUNTIFS('Riding comparison'!$B$6:$B$98,A14,'Riding comparison'!$AC$6:$AC$98,"NDP")</x:f>
        <x:v>12</x:v>
      </x:c>
      <x:c r="N14" s="32" t="n">
        <x:f>COUNTIFS('Riding comparison'!$B$6:$B$98,A14,'Riding comparison'!$AD$6:$AD$98,"NDP")</x:f>
        <x:v>10</x:v>
      </x:c>
      <x:c r="O14" s="32" t="n">
        <x:f>N14-M14</x:f>
        <x:v>-2</x:v>
      </x:c>
    </x:row>
  </x:sheetData>
  <x:mergeCells>
    <x:mergeCell ref="A1:N2"/>
    <x:mergeCell ref="A3:N3"/>
  </x:mergeCells>
  <x:conditionalFormatting sqref="I6:I14">
    <x:cfRule type="colorScale" priority="1">
      <x:colorScale>
        <x:cfvo type="min"/>
        <x:cfvo type="percentile" val="50"/>
        <x:cfvo type="max"/>
        <x:color rgb="FFF3BDC4"/>
        <x:color rgb="FFFFFFFF"/>
        <x:color rgb="FFC9ECD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1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8" t="str">
        <x:v>NDP seat-lead changes | preliminary</x:v>
      </x:c>
      <x:c r="B1" s="9"/>
      <x:c r="C1" s="9"/>
      <x:c r="D1" s="9"/>
      <x:c r="E1" s="9"/>
      <x:c r="F1" s="9"/>
      <x:c r="G1" s="9"/>
      <x:c r="H1" s="9"/>
    </x:row>
    <x:row r="2" ht="23" customHeight="1">
      <x:c r="A2" s="9"/>
      <x:c r="B2" s="9"/>
      <x:c r="C2" s="9"/>
      <x:c r="D2" s="9"/>
      <x:c r="E2" s="9"/>
      <x:c r="F2" s="9"/>
      <x:c r="G2" s="9"/>
      <x:c r="H2" s="9"/>
    </x:row>
    <x:row r="3" ht="26" customHeight="1">
      <x:c r="A3" s="18" t="str">
        <x:v>A lead is not a certified election result. 20 losses of NDP leads, 1 gain from the Conservatives.</x:v>
      </x:c>
      <x:c r="B3" s="18"/>
      <x:c r="C3" s="18"/>
      <x:c r="D3" s="18"/>
      <x:c r="E3" s="18"/>
      <x:c r="F3" s="18"/>
      <x:c r="G3" s="18"/>
      <x:c r="H3" s="18"/>
    </x:row>
    <x:row r="5" ht="34" customHeight="1">
      <x:c r="A5" s="24" t="str">
        <x:v>Riding</x:v>
      </x:c>
      <x:c r="B5" s="24" t="str">
        <x:v>Region</x:v>
      </x:c>
      <x:c r="C5" s="24" t="str">
        <x:v>2024 leader</x:v>
      </x:c>
      <x:c r="D5" s="24" t="str">
        <x:v>2026 leader</x:v>
      </x:c>
      <x:c r="E5" s="24" t="str">
        <x:v>NDP 2024 %</x:v>
      </x:c>
      <x:c r="F5" s="24" t="str">
        <x:v>NDP 2026 %</x:v>
      </x:c>
      <x:c r="G5" s="24" t="str">
        <x:v>NDP swing pp</x:v>
      </x:c>
      <x:c r="H5" s="24" t="str">
        <x:v>2026 lead margin</x:v>
      </x:c>
    </x:row>
    <x:row r="6">
      <x:c r="A6" t="str">
        <x:f>'Riding comparison'!A81</x:f>
        <x:v>Vancouver-Fraserview</x:v>
      </x:c>
      <x:c r="B6" t="str">
        <x:f>'Riding comparison'!B81</x:f>
        <x:v>Vancouver</x:v>
      </x:c>
      <x:c r="C6" t="str">
        <x:f>'Riding comparison'!AC81</x:f>
        <x:v>NDP</x:v>
      </x:c>
      <x:c r="D6" t="str">
        <x:f>'Riding comparison'!AD81</x:f>
        <x:v>Conservative</x:v>
      </x:c>
      <x:c r="E6" s="28" t="n">
        <x:f>'Riding comparison'!Q81</x:f>
        <x:v>0.571813112862911</x:v>
      </x:c>
      <x:c r="F6" s="28" t="n">
        <x:f>'Riding comparison'!R81</x:f>
        <x:v>0.4171442657299562</x:v>
      </x:c>
      <x:c r="G6" s="30" t="n">
        <x:f>'Riding comparison'!S81</x:f>
        <x:v>-15.466884713295482</x:v>
      </x:c>
      <x:c r="H6" s="32" t="n">
        <x:f>'Riding comparison'!AF81</x:f>
        <x:v>387</x:v>
      </x:c>
    </x:row>
    <x:row r="7">
      <x:c r="A7" t="str">
        <x:f>'Riding comparison'!A11</x:f>
        <x:v>Burnaby Centre</x:v>
      </x:c>
      <x:c r="B7" t="str">
        <x:f>'Riding comparison'!B11</x:f>
        <x:v>Burnaby / Tri-Cities / New West</x:v>
      </x:c>
      <x:c r="C7" t="str">
        <x:f>'Riding comparison'!AC11</x:f>
        <x:v>NDP</x:v>
      </x:c>
      <x:c r="D7" t="str">
        <x:f>'Riding comparison'!AD11</x:f>
        <x:v>Conservative</x:v>
      </x:c>
      <x:c r="E7" s="28" t="n">
        <x:f>'Riding comparison'!Q11</x:f>
        <x:v>0.5728007496778728</x:v>
      </x:c>
      <x:c r="F7" s="28" t="n">
        <x:f>'Riding comparison'!R11</x:f>
        <x:v>0.4185114906177525</x:v>
      </x:c>
      <x:c r="G7" s="30" t="n">
        <x:f>'Riding comparison'!S11</x:f>
        <x:v>-15.428925906012026</x:v>
      </x:c>
      <x:c r="H7" s="32" t="n">
        <x:f>'Riding comparison'!AF11</x:f>
        <x:v>780</x:v>
      </x:c>
    </x:row>
    <x:row r="8">
      <x:c r="A8" t="str">
        <x:f>'Riding comparison'!A52</x:f>
        <x:v>North Vancouver-Seymour</x:v>
      </x:c>
      <x:c r="B8" t="str">
        <x:f>'Riding comparison'!B52</x:f>
        <x:v>North Shore / Sea-to-Sky</x:v>
      </x:c>
      <x:c r="C8" t="str">
        <x:f>'Riding comparison'!AC52</x:f>
        <x:v>NDP</x:v>
      </x:c>
      <x:c r="D8" t="str">
        <x:f>'Riding comparison'!AD52</x:f>
        <x:v>Conservative</x:v>
      </x:c>
      <x:c r="E8" s="28" t="n">
        <x:f>'Riding comparison'!Q52</x:f>
        <x:v>0.527652094658377</x:v>
      </x:c>
      <x:c r="F8" s="28" t="n">
        <x:f>'Riding comparison'!R52</x:f>
        <x:v>0.37421443534564847</x:v>
      </x:c>
      <x:c r="G8" s="30" t="n">
        <x:f>'Riding comparison'!S52</x:f>
        <x:v>-15.343765931272857</x:v>
      </x:c>
      <x:c r="H8" s="32" t="n">
        <x:f>'Riding comparison'!AF52</x:f>
        <x:v>2466</x:v>
      </x:c>
    </x:row>
    <x:row r="9">
      <x:c r="A9" t="str">
        <x:f>'Riding comparison'!A68</x:f>
        <x:v>Saanich South</x:v>
      </x:c>
      <x:c r="B9" t="str">
        <x:f>'Riding comparison'!B68</x:f>
        <x:v>Vancouver Island / Gulf Islands</x:v>
      </x:c>
      <x:c r="C9" t="str">
        <x:f>'Riding comparison'!AC68</x:f>
        <x:v>NDP</x:v>
      </x:c>
      <x:c r="D9" t="str">
        <x:f>'Riding comparison'!AD68</x:f>
        <x:v>Conservative</x:v>
      </x:c>
      <x:c r="E9" s="28" t="n">
        <x:f>'Riding comparison'!Q68</x:f>
        <x:v>0.4975669889054694</x:v>
      </x:c>
      <x:c r="F9" s="28" t="n">
        <x:f>'Riding comparison'!R68</x:f>
        <x:v>0.34711051534107834</x:v>
      </x:c>
      <x:c r="G9" s="30" t="n">
        <x:f>'Riding comparison'!S68</x:f>
        <x:v>-15.045647356439106</x:v>
      </x:c>
      <x:c r="H9" s="32" t="n">
        <x:f>'Riding comparison'!AF68</x:f>
        <x:v>1227</x:v>
      </x:c>
    </x:row>
    <x:row r="10">
      <x:c r="A10" t="str">
        <x:f>'Riding comparison'!A24</x:f>
        <x:v>Delta North</x:v>
      </x:c>
      <x:c r="B10" t="str">
        <x:f>'Riding comparison'!B24</x:f>
        <x:v>Richmond / Delta</x:v>
      </x:c>
      <x:c r="C10" t="str">
        <x:f>'Riding comparison'!AC24</x:f>
        <x:v>NDP</x:v>
      </x:c>
      <x:c r="D10" t="str">
        <x:f>'Riding comparison'!AD24</x:f>
        <x:v>Conservative</x:v>
      </x:c>
      <x:c r="E10" s="28" t="n">
        <x:f>'Riding comparison'!Q24</x:f>
        <x:v>0.5273058834821001</x:v>
      </x:c>
      <x:c r="F10" s="28" t="n">
        <x:f>'Riding comparison'!R24</x:f>
        <x:v>0.4061149701908877</x:v>
      </x:c>
      <x:c r="G10" s="30" t="n">
        <x:f>'Riding comparison'!S24</x:f>
        <x:v>-12.119091329121234</x:v>
      </x:c>
      <x:c r="H10" s="32" t="n">
        <x:f>'Riding comparison'!AF24</x:f>
        <x:v>2371</x:v>
      </x:c>
    </x:row>
    <x:row r="11">
      <x:c r="A11" t="str">
        <x:f>'Riding comparison'!A20</x:f>
        <x:v>Coquitlam-Burke Mountain</x:v>
      </x:c>
      <x:c r="B11" t="str">
        <x:f>'Riding comparison'!B20</x:f>
        <x:v>Burnaby / Tri-Cities / New West</x:v>
      </x:c>
      <x:c r="C11" t="str">
        <x:f>'Riding comparison'!AC20</x:f>
        <x:v>NDP</x:v>
      </x:c>
      <x:c r="D11" t="str">
        <x:f>'Riding comparison'!AD20</x:f>
        <x:v>Conservative</x:v>
      </x:c>
      <x:c r="E11" s="28" t="n">
        <x:f>'Riding comparison'!Q20</x:f>
        <x:v>0.5084902177925433</x:v>
      </x:c>
      <x:c r="F11" s="28" t="n">
        <x:f>'Riding comparison'!R20</x:f>
        <x:v>0.3925068338961248</x:v>
      </x:c>
      <x:c r="G11" s="30" t="n">
        <x:f>'Riding comparison'!S20</x:f>
        <x:v>-11.598338389641855</x:v>
      </x:c>
      <x:c r="H11" s="32" t="n">
        <x:f>'Riding comparison'!AF20</x:f>
        <x:v>2491</x:v>
      </x:c>
    </x:row>
    <x:row r="12">
      <x:c r="A12" t="str">
        <x:f>'Riding comparison'!A14</x:f>
        <x:v>Burnaby North</x:v>
      </x:c>
      <x:c r="B12" t="str">
        <x:f>'Riding comparison'!B14</x:f>
        <x:v>Burnaby / Tri-Cities / New West</x:v>
      </x:c>
      <x:c r="C12" t="str">
        <x:f>'Riding comparison'!AC14</x:f>
        <x:v>NDP</x:v>
      </x:c>
      <x:c r="D12" t="str">
        <x:f>'Riding comparison'!AD14</x:f>
        <x:v>Conservative</x:v>
      </x:c>
      <x:c r="E12" s="28" t="n">
        <x:f>'Riding comparison'!Q14</x:f>
        <x:v>0.5325784664282877</x:v>
      </x:c>
      <x:c r="F12" s="28" t="n">
        <x:f>'Riding comparison'!R14</x:f>
        <x:v>0.4208452923631043</x:v>
      </x:c>
      <x:c r="G12" s="30" t="n">
        <x:f>'Riding comparison'!S14</x:f>
        <x:v>-11.173317406518334</x:v>
      </x:c>
      <x:c r="H12" s="32" t="n">
        <x:f>'Riding comparison'!AF14</x:f>
        <x:v>782</x:v>
      </x:c>
    </x:row>
    <x:row r="13">
      <x:c r="A13" t="str">
        <x:f>'Riding comparison'!A73</x:f>
        <x:v>Surrey-Fleetwood</x:v>
      </x:c>
      <x:c r="B13" t="str">
        <x:f>'Riding comparison'!B73</x:f>
        <x:v>Surrey</x:v>
      </x:c>
      <x:c r="C13" t="str">
        <x:f>'Riding comparison'!AC73</x:f>
        <x:v>NDP</x:v>
      </x:c>
      <x:c r="D13" t="str">
        <x:f>'Riding comparison'!AD73</x:f>
        <x:v>Conservative</x:v>
      </x:c>
      <x:c r="E13" s="28" t="n">
        <x:f>'Riding comparison'!Q73</x:f>
        <x:v>0.4860879788380523</x:v>
      </x:c>
      <x:c r="F13" s="28" t="n">
        <x:f>'Riding comparison'!R73</x:f>
        <x:v>0.3806022408963585</x:v>
      </x:c>
      <x:c r="G13" s="30" t="n">
        <x:f>'Riding comparison'!S73</x:f>
        <x:v>-10.54857379416938</x:v>
      </x:c>
      <x:c r="H13" s="32" t="n">
        <x:f>'Riding comparison'!AF73</x:f>
        <x:v>2169</x:v>
      </x:c>
    </x:row>
    <x:row r="14">
      <x:c r="A14" t="str">
        <x:f>'Riding comparison'!A75</x:f>
        <x:v>Surrey-Newton</x:v>
      </x:c>
      <x:c r="B14" t="str">
        <x:f>'Riding comparison'!B75</x:f>
        <x:v>Surrey</x:v>
      </x:c>
      <x:c r="C14" t="str">
        <x:f>'Riding comparison'!AC75</x:f>
        <x:v>NDP</x:v>
      </x:c>
      <x:c r="D14" t="str">
        <x:f>'Riding comparison'!AD75</x:f>
        <x:v>Conservative</x:v>
      </x:c>
      <x:c r="E14" s="28" t="n">
        <x:f>'Riding comparison'!Q75</x:f>
        <x:v>0.5116879762366008</x:v>
      </x:c>
      <x:c r="F14" s="28" t="n">
        <x:f>'Riding comparison'!R75</x:f>
        <x:v>0.4069862504645113</x:v>
      </x:c>
      <x:c r="G14" s="30" t="n">
        <x:f>'Riding comparison'!S75</x:f>
        <x:v>-10.470172577208947</x:v>
      </x:c>
      <x:c r="H14" s="32" t="n">
        <x:f>'Riding comparison'!AF75</x:f>
        <x:v>1858</x:v>
      </x:c>
    </x:row>
    <x:row r="15">
      <x:c r="A15" t="str">
        <x:f>'Riding comparison'!A43</x:f>
        <x:v>Maple Ridge-Pitt Meadows</x:v>
      </x:c>
      <x:c r="B15" t="str">
        <x:f>'Riding comparison'!B43</x:f>
        <x:v>Fraser Valley / Ridge / Langley</x:v>
      </x:c>
      <x:c r="C15" t="str">
        <x:f>'Riding comparison'!AC43</x:f>
        <x:v>NDP</x:v>
      </x:c>
      <x:c r="D15" t="str">
        <x:f>'Riding comparison'!AD43</x:f>
        <x:v>Conservative</x:v>
      </x:c>
      <x:c r="E15" s="28" t="n">
        <x:f>'Riding comparison'!Q43</x:f>
        <x:v>0.5488798756680945</x:v>
      </x:c>
      <x:c r="F15" s="28" t="n">
        <x:f>'Riding comparison'!R43</x:f>
        <x:v>0.44547035996253176</x:v>
      </x:c>
      <x:c r="G15" s="30" t="n">
        <x:f>'Riding comparison'!S43</x:f>
        <x:v>-10.340951570556273</x:v>
      </x:c>
      <x:c r="H15" s="32" t="n">
        <x:f>'Riding comparison'!AF43</x:f>
        <x:v>850</x:v>
      </x:c>
    </x:row>
    <x:row r="16">
      <x:c r="A16" t="str">
        <x:f>'Riding comparison'!A21</x:f>
        <x:v>Coquitlam-Maillardville</x:v>
      </x:c>
      <x:c r="B16" t="str">
        <x:f>'Riding comparison'!B21</x:f>
        <x:v>Burnaby / Tri-Cities / New West</x:v>
      </x:c>
      <x:c r="C16" t="str">
        <x:f>'Riding comparison'!AC21</x:f>
        <x:v>NDP</x:v>
      </x:c>
      <x:c r="D16" t="str">
        <x:f>'Riding comparison'!AD21</x:f>
        <x:v>Conservative</x:v>
      </x:c>
      <x:c r="E16" s="28" t="n">
        <x:f>'Riding comparison'!Q21</x:f>
        <x:v>0.5179544864584235</x:v>
      </x:c>
      <x:c r="F16" s="28" t="n">
        <x:f>'Riding comparison'!R21</x:f>
        <x:v>0.41498841102240536</x:v>
      </x:c>
      <x:c r="G16" s="30" t="n">
        <x:f>'Riding comparison'!S21</x:f>
        <x:v>-10.29660754360181</x:v>
      </x:c>
      <x:c r="H16" s="32" t="n">
        <x:f>'Riding comparison'!AF21</x:f>
        <x:v>1569</x:v>
      </x:c>
    </x:row>
    <x:row r="17">
      <x:c r="A17" t="str">
        <x:f>'Riding comparison'!A58</x:f>
        <x:v>Port Moody-Burquitlam</x:v>
      </x:c>
      <x:c r="B17" t="str">
        <x:f>'Riding comparison'!B58</x:f>
        <x:v>Burnaby / Tri-Cities / New West</x:v>
      </x:c>
      <x:c r="C17" t="str">
        <x:f>'Riding comparison'!AC58</x:f>
        <x:v>NDP</x:v>
      </x:c>
      <x:c r="D17" t="str">
        <x:f>'Riding comparison'!AD58</x:f>
        <x:v>Conservative</x:v>
      </x:c>
      <x:c r="E17" s="28" t="n">
        <x:f>'Riding comparison'!Q58</x:f>
        <x:v>0.5206113941639648</x:v>
      </x:c>
      <x:c r="F17" s="28" t="n">
        <x:f>'Riding comparison'!R58</x:f>
        <x:v>0.4213863984255412</x:v>
      </x:c>
      <x:c r="G17" s="30" t="n">
        <x:f>'Riding comparison'!S58</x:f>
        <x:v>-9.922499573842364</x:v>
      </x:c>
      <x:c r="H17" s="32" t="n">
        <x:f>'Riding comparison'!AF58</x:f>
        <x:v>1078</x:v>
      </x:c>
    </x:row>
    <x:row r="18">
      <x:c r="A18" t="str">
        <x:f>'Riding comparison'!A84</x:f>
        <x:v>Vancouver-Langara</x:v>
      </x:c>
      <x:c r="B18" t="str">
        <x:f>'Riding comparison'!B84</x:f>
        <x:v>Vancouver</x:v>
      </x:c>
      <x:c r="C18" t="str">
        <x:f>'Riding comparison'!AC84</x:f>
        <x:v>NDP</x:v>
      </x:c>
      <x:c r="D18" t="str">
        <x:f>'Riding comparison'!AD84</x:f>
        <x:v>Conservative</x:v>
      </x:c>
      <x:c r="E18" s="28" t="n">
        <x:f>'Riding comparison'!Q84</x:f>
        <x:v>0.4843411912082906</x:v>
      </x:c>
      <x:c r="F18" s="28" t="n">
        <x:f>'Riding comparison'!R84</x:f>
        <x:v>0.38979118329466356</x:v>
      </x:c>
      <x:c r="G18" s="30" t="n">
        <x:f>'Riding comparison'!S84</x:f>
        <x:v>-9.455000791362705</x:v>
      </x:c>
      <x:c r="H18" s="32" t="n">
        <x:f>'Riding comparison'!AF84</x:f>
        <x:v>1650</x:v>
      </x:c>
    </x:row>
    <x:row r="19">
      <x:c r="A19" t="str">
        <x:f>'Riding comparison'!A66</x:f>
        <x:v>Richmond-Steveston</x:v>
      </x:c>
      <x:c r="B19" t="str">
        <x:f>'Riding comparison'!B66</x:f>
        <x:v>Richmond / Delta</x:v>
      </x:c>
      <x:c r="C19" t="str">
        <x:f>'Riding comparison'!AC66</x:f>
        <x:v>NDP</x:v>
      </x:c>
      <x:c r="D19" t="str">
        <x:f>'Riding comparison'!AD66</x:f>
        <x:v>Conservative</x:v>
      </x:c>
      <x:c r="E19" s="28" t="n">
        <x:f>'Riding comparison'!Q66</x:f>
        <x:v>0.4427304280755881</x:v>
      </x:c>
      <x:c r="F19" s="28" t="n">
        <x:f>'Riding comparison'!R66</x:f>
        <x:v>0.34987258282116623</x:v>
      </x:c>
      <x:c r="G19" s="30" t="n">
        <x:f>'Riding comparison'!S66</x:f>
        <x:v>-9.285784525442187</x:v>
      </x:c>
      <x:c r="H19" s="32" t="n">
        <x:f>'Riding comparison'!AF66</x:f>
        <x:v>3841</x:v>
      </x:c>
    </x:row>
    <x:row r="20">
      <x:c r="A20" t="str">
        <x:f>'Riding comparison'!A92</x:f>
        <x:v>Vancouver-Yaletown</x:v>
      </x:c>
      <x:c r="B20" t="str">
        <x:f>'Riding comparison'!B92</x:f>
        <x:v>Vancouver</x:v>
      </x:c>
      <x:c r="C20" t="str">
        <x:f>'Riding comparison'!AC92</x:f>
        <x:v>NDP</x:v>
      </x:c>
      <x:c r="D20" t="str">
        <x:f>'Riding comparison'!AD92</x:f>
        <x:v>Conservative</x:v>
      </x:c>
      <x:c r="E20" s="28" t="n">
        <x:f>'Riding comparison'!Q92</x:f>
        <x:v>0.4975997351431882</x:v>
      </x:c>
      <x:c r="F20" s="28" t="n">
        <x:f>'Riding comparison'!R92</x:f>
        <x:v>0.4099448285494797</x:v>
      </x:c>
      <x:c r="G20" s="30" t="n">
        <x:f>'Riding comparison'!S92</x:f>
        <x:v>-8.765490659370851</x:v>
      </x:c>
      <x:c r="H20" s="32" t="n">
        <x:f>'Riding comparison'!AF92</x:f>
        <x:v>844</x:v>
      </x:c>
    </x:row>
    <x:row r="21">
      <x:c r="A21" t="str">
        <x:f>'Riding comparison'!A74</x:f>
        <x:v>Surrey-Guildford</x:v>
      </x:c>
      <x:c r="B21" t="str">
        <x:f>'Riding comparison'!B74</x:f>
        <x:v>Surrey</x:v>
      </x:c>
      <x:c r="C21" t="str">
        <x:f>'Riding comparison'!AC74</x:f>
        <x:v>NDP</x:v>
      </x:c>
      <x:c r="D21" t="str">
        <x:f>'Riding comparison'!AD74</x:f>
        <x:v>Conservative</x:v>
      </x:c>
      <x:c r="E21" s="28" t="n">
        <x:f>'Riding comparison'!Q74</x:f>
        <x:v>0.4692646596034826</x:v>
      </x:c>
      <x:c r="F21" s="28" t="n">
        <x:f>'Riding comparison'!R74</x:f>
        <x:v>0.41024802041751196</x:v>
      </x:c>
      <x:c r="G21" s="30" t="n">
        <x:f>'Riding comparison'!S74</x:f>
        <x:v>-5.901663918597066</x:v>
      </x:c>
      <x:c r="H21" s="32" t="n">
        <x:f>'Riding comparison'!AF74</x:f>
        <x:v>1472</x:v>
      </x:c>
    </x:row>
    <x:row r="22">
      <x:c r="A22" t="str">
        <x:f>'Riding comparison'!A93</x:f>
        <x:v>Vernon-Lumby</x:v>
      </x:c>
      <x:c r="B22" t="str">
        <x:f>'Riding comparison'!B93</x:f>
        <x:v>Southern Interior / Kootenays / Coast</x:v>
      </x:c>
      <x:c r="C22" t="str">
        <x:f>'Riding comparison'!AC93</x:f>
        <x:v>NDP</x:v>
      </x:c>
      <x:c r="D22" t="str">
        <x:f>'Riding comparison'!AD93</x:f>
        <x:v>Conservative</x:v>
      </x:c>
      <x:c r="E22" s="28" t="n">
        <x:f>'Riding comparison'!Q93</x:f>
        <x:v>0.426881604096794</x:v>
      </x:c>
      <x:c r="F22" s="28" t="n">
        <x:f>'Riding comparison'!R93</x:f>
        <x:v>0.3779351174046962</x:v>
      </x:c>
      <x:c r="G22" s="30" t="n">
        <x:f>'Riding comparison'!S93</x:f>
        <x:v>-4.8946486692097775</x:v>
      </x:c>
      <x:c r="H22" s="32" t="n">
        <x:f>'Riding comparison'!AF93</x:f>
        <x:v>3254</x:v>
      </x:c>
    </x:row>
    <x:row r="23">
      <x:c r="A23" t="str">
        <x:f>'Riding comparison'!A71</x:f>
        <x:v>Surrey City Centre</x:v>
      </x:c>
      <x:c r="B23" t="str">
        <x:f>'Riding comparison'!B71</x:f>
        <x:v>Surrey</x:v>
      </x:c>
      <x:c r="C23" t="str">
        <x:f>'Riding comparison'!AC71</x:f>
        <x:v>NDP</x:v>
      </x:c>
      <x:c r="D23" t="str">
        <x:f>'Riding comparison'!AD71</x:f>
        <x:v>Conservative</x:v>
      </x:c>
      <x:c r="E23" s="28" t="n">
        <x:f>'Riding comparison'!Q71</x:f>
        <x:v>0.4669536239933352</x:v>
      </x:c>
      <x:c r="F23" s="28" t="n">
        <x:f>'Riding comparison'!R71</x:f>
        <x:v>0.4419880319148936</x:v>
      </x:c>
      <x:c r="G23" s="30" t="n">
        <x:f>'Riding comparison'!S71</x:f>
        <x:v>-2.4965592078441565</x:v>
      </x:c>
      <x:c r="H23" s="32" t="n">
        <x:f>'Riding comparison'!AF71</x:f>
        <x:v>395</x:v>
      </x:c>
    </x:row>
    <x:row r="24">
      <x:c r="A24" t="str">
        <x:f>'Riding comparison'!A28</x:f>
        <x:v>Juan de Fuca-Malahat</x:v>
      </x:c>
      <x:c r="B24" t="str">
        <x:f>'Riding comparison'!B28</x:f>
        <x:v>Vancouver Island / Gulf Islands</x:v>
      </x:c>
      <x:c r="C24" t="str">
        <x:f>'Riding comparison'!AC28</x:f>
        <x:v>NDP</x:v>
      </x:c>
      <x:c r="D24" t="str">
        <x:f>'Riding comparison'!AD28</x:f>
        <x:v>Conservative</x:v>
      </x:c>
      <x:c r="E24" s="28" t="n">
        <x:f>'Riding comparison'!Q28</x:f>
        <x:v>0.3878818185606534</x:v>
      </x:c>
      <x:c r="F24" s="28" t="n">
        <x:f>'Riding comparison'!R28</x:f>
        <x:v>0.3815996759238421</x:v>
      </x:c>
      <x:c r="G24" s="30" t="n">
        <x:f>'Riding comparison'!S28</x:f>
        <x:v>-0.6282142636811316</x:v>
      </x:c>
      <x:c r="H24" s="32" t="n">
        <x:f>'Riding comparison'!AF28</x:f>
        <x:v>768</x:v>
      </x:c>
    </x:row>
    <x:row r="25">
      <x:c r="A25" t="str">
        <x:f>'Riding comparison'!A23</x:f>
        <x:v>Cowichan Valley</x:v>
      </x:c>
      <x:c r="B25" t="str">
        <x:f>'Riding comparison'!B23</x:f>
        <x:v>Vancouver Island / Gulf Islands</x:v>
      </x:c>
      <x:c r="C25" t="str">
        <x:f>'Riding comparison'!AC23</x:f>
        <x:v>NDP</x:v>
      </x:c>
      <x:c r="D25" t="str">
        <x:f>'Riding comparison'!AD23</x:f>
        <x:v>Conservative</x:v>
      </x:c>
      <x:c r="E25" s="28" t="n">
        <x:f>'Riding comparison'!Q23</x:f>
        <x:v>0.4050758980699224</x:v>
      </x:c>
      <x:c r="F25" s="28" t="n">
        <x:f>'Riding comparison'!R23</x:f>
        <x:v>0.4227576354299394</x:v>
      </x:c>
      <x:c r="G25" s="30" t="n">
        <x:f>'Riding comparison'!S23</x:f>
        <x:v>1.7681737360016991</x:v>
      </x:c>
      <x:c r="H25" s="32" t="n">
        <x:f>'Riding comparison'!AF23</x:f>
        <x:v>151</x:v>
      </x:c>
    </x:row>
    <x:row r="26">
      <x:c r="A26" t="str">
        <x:f>'Riding comparison'!A22</x:f>
        <x:v>Courtenay-Comox</x:v>
      </x:c>
      <x:c r="B26" t="str">
        <x:f>'Riding comparison'!B22</x:f>
        <x:v>Vancouver Island / Gulf Islands</x:v>
      </x:c>
      <x:c r="C26" t="str">
        <x:f>'Riding comparison'!AC22</x:f>
        <x:v>Conservative</x:v>
      </x:c>
      <x:c r="D26" t="str">
        <x:f>'Riding comparison'!AD22</x:f>
        <x:v>NDP</x:v>
      </x:c>
      <x:c r="E26" s="28" t="n">
        <x:f>'Riding comparison'!Q22</x:f>
        <x:v>0.3856212915490524</x:v>
      </x:c>
      <x:c r="F26" s="28" t="n">
        <x:f>'Riding comparison'!R22</x:f>
        <x:v>0.45075069009627683</x:v>
      </x:c>
      <x:c r="G26" s="30" t="n">
        <x:f>'Riding comparison'!S22</x:f>
        <x:v>6.512939854722443</x:v>
      </x:c>
      <x:c r="H26" s="32" t="n">
        <x:f>'Riding comparison'!AF22</x:f>
        <x:v>696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14" hidden="0" customWidth="1"/>
    <x:col min="5" max="5" width="20" hidden="0" customWidth="1"/>
    <x:col min="6" max="6" width="19" hidden="0" customWidth="1"/>
    <x:col min="7" max="7" width="19" hidden="0" customWidth="1"/>
    <x:col min="8" max="8" width="34" hidden="0" customWidth="1"/>
  </x:cols>
  <x:sheetData>
    <x:row r="1" ht="23" customHeight="1">
      <x:c r="A1" s="8" t="str">
        <x:v>Closest preliminary races | smallest lead first</x:v>
      </x:c>
      <x:c r="B1" s="9"/>
      <x:c r="C1" s="9"/>
      <x:c r="D1" s="9"/>
      <x:c r="E1" s="9"/>
      <x:c r="F1" s="9"/>
      <x:c r="G1" s="9"/>
      <x:c r="H1" s="9"/>
    </x:row>
    <x:row r="2" ht="23" customHeight="1">
      <x:c r="A2" s="9"/>
      <x:c r="B2" s="9"/>
      <x:c r="C2" s="9"/>
      <x:c r="D2" s="9"/>
      <x:c r="E2" s="9"/>
      <x:c r="F2" s="9"/>
      <x:c r="G2" s="9"/>
      <x:c r="H2" s="9"/>
    </x:row>
    <x:row r="3" ht="26" customHeight="1">
      <x:c r="A3" s="18" t="str">
        <x:v>The final count (mail/absentee ballots) can change leaders. These are 26 Oct preliminary margins.</x:v>
      </x:c>
      <x:c r="B3" s="18"/>
      <x:c r="C3" s="18"/>
      <x:c r="D3" s="18"/>
      <x:c r="E3" s="18"/>
      <x:c r="F3" s="18"/>
      <x:c r="G3" s="18"/>
      <x:c r="H3" s="18"/>
    </x:row>
    <x:row r="5" ht="34" customHeight="1">
      <x:c r="A5" s="24" t="str">
        <x:v>Rank</x:v>
      </x:c>
      <x:c r="B5" s="24" t="str">
        <x:v>Riding</x:v>
      </x:c>
      <x:c r="C5" s="24" t="str">
        <x:v>Current leader</x:v>
      </x:c>
      <x:c r="D5" s="24" t="str">
        <x:v>Lead (votes)</x:v>
      </x:c>
      <x:c r="E5" s="24" t="str">
        <x:v>2024 leader</x:v>
      </x:c>
      <x:c r="F5" s="24" t="str">
        <x:v>NDP share swing pp</x:v>
      </x:c>
      <x:c r="G5" s="24" t="str">
        <x:v>Ballots % change</x:v>
      </x:c>
      <x:c r="H5" s="24" t="str">
        <x:v>Notes</x:v>
      </x:c>
    </x:row>
    <x:row r="6">
      <x:c r="A6" t="n">
        <x:f>6-5</x:f>
        <x:v>1</x:v>
      </x:c>
      <x:c r="B6" t="str">
        <x:f>'Riding comparison'!A37</x:f>
        <x:v>Ladysmith-Oceanside</x:v>
      </x:c>
      <x:c r="C6" t="str">
        <x:f>'Riding comparison'!AD37</x:f>
        <x:v>NDP</x:v>
      </x:c>
      <x:c r="D6" s="32" t="n">
        <x:f>'Riding comparison'!AF37</x:f>
        <x:v>13</x:v>
      </x:c>
      <x:c r="E6" t="str">
        <x:f>'Riding comparison'!AC37</x:f>
        <x:v>NDP</x:v>
      </x:c>
      <x:c r="F6" s="30" t="n">
        <x:f>'Riding comparison'!S37</x:f>
        <x:v>2.9463735871043726</x:v>
      </x:c>
      <x:c r="G6" s="28" t="n">
        <x:f>'Riding comparison'!AB37</x:f>
        <x:v>-0.11610388087700785</x:v>
      </x:c>
      <x:c r="H6" t="str">
        <x:f>'Riding comparison'!AH37</x:f>
        <x:v>Close result &lt;=500 votes</x:v>
      </x:c>
    </x:row>
    <x:row r="7">
      <x:c r="A7" t="n">
        <x:f>7-5</x:f>
        <x:v>2</x:v>
      </x:c>
      <x:c r="B7" t="str">
        <x:f>'Riding comparison'!A15</x:f>
        <x:v>Burnaby South-Metrotown</x:v>
      </x:c>
      <x:c r="C7" t="str">
        <x:f>'Riding comparison'!AD15</x:f>
        <x:v>NDP</x:v>
      </x:c>
      <x:c r="D7" s="32" t="n">
        <x:f>'Riding comparison'!AF15</x:f>
        <x:v>66</x:v>
      </x:c>
      <x:c r="E7" t="str">
        <x:f>'Riding comparison'!AC15</x:f>
        <x:v>NDP</x:v>
      </x:c>
      <x:c r="F7" s="30" t="n">
        <x:f>'Riding comparison'!S15</x:f>
        <x:v>-4.924922566462691</x:v>
      </x:c>
      <x:c r="G7" s="28" t="n">
        <x:f>'Riding comparison'!AB15</x:f>
        <x:v>-0.14410366608061476</x:v>
      </x:c>
      <x:c r="H7" t="str">
        <x:f>'Riding comparison'!AH15</x:f>
        <x:v>Close result &lt;=500 votes</x:v>
      </x:c>
    </x:row>
    <x:row r="8">
      <x:c r="A8" t="n">
        <x:f>8-5</x:f>
        <x:v>3</x:v>
      </x:c>
      <x:c r="B8" t="str">
        <x:f>'Riding comparison'!A31</x:f>
        <x:v>Kelowna Centre</x:v>
      </x:c>
      <x:c r="C8" t="str">
        <x:f>'Riding comparison'!AD31</x:f>
        <x:v>Conservative</x:v>
      </x:c>
      <x:c r="D8" s="32" t="n">
        <x:f>'Riding comparison'!AF31</x:f>
        <x:v>132</x:v>
      </x:c>
      <x:c r="E8" t="str">
        <x:f>'Riding comparison'!AC31</x:f>
        <x:v>Conservative</x:v>
      </x:c>
      <x:c r="F8" s="30" t="n">
        <x:f>'Riding comparison'!S31</x:f>
        <x:v>5.057696337401146</x:v>
      </x:c>
      <x:c r="G8" s="28" t="n">
        <x:f>'Riding comparison'!AB31</x:f>
        <x:v>-0.13202497769848354</x:v>
      </x:c>
      <x:c r="H8" t="str">
        <x:f>'Riding comparison'!AH31</x:f>
        <x:v>Green absent 2026; Close result &lt;=500 votes</x:v>
      </x:c>
    </x:row>
    <x:row r="9">
      <x:c r="A9" t="n">
        <x:f>9-5</x:f>
        <x:v>4</x:v>
      </x:c>
      <x:c r="B9" t="str">
        <x:f>'Riding comparison'!A23</x:f>
        <x:v>Cowichan Valley</x:v>
      </x:c>
      <x:c r="C9" t="str">
        <x:f>'Riding comparison'!AD23</x:f>
        <x:v>Conservative</x:v>
      </x:c>
      <x:c r="D9" s="32" t="n">
        <x:f>'Riding comparison'!AF23</x:f>
        <x:v>151</x:v>
      </x:c>
      <x:c r="E9" t="str">
        <x:f>'Riding comparison'!AC23</x:f>
        <x:v>NDP</x:v>
      </x:c>
      <x:c r="F9" s="30" t="n">
        <x:f>'Riding comparison'!S23</x:f>
        <x:v>1.7681737360016991</x:v>
      </x:c>
      <x:c r="G9" s="28" t="n">
        <x:f>'Riding comparison'!AB23</x:f>
        <x:v>-0.11033371060122787</x:v>
      </x:c>
      <x:c r="H9" t="str">
        <x:f>'Riding comparison'!AH23</x:f>
        <x:v>Close result &lt;=500 votes</x:v>
      </x:c>
    </x:row>
    <x:row r="10">
      <x:c r="A10" t="n">
        <x:f>10-5</x:f>
        <x:v>5</x:v>
      </x:c>
      <x:c r="B10" t="str">
        <x:f>'Riding comparison'!A12</x:f>
        <x:v>Burnaby East</x:v>
      </x:c>
      <x:c r="C10" t="str">
        <x:f>'Riding comparison'!AD12</x:f>
        <x:v>NDP</x:v>
      </x:c>
      <x:c r="D10" s="32" t="n">
        <x:f>'Riding comparison'!AF12</x:f>
        <x:v>241</x:v>
      </x:c>
      <x:c r="E10" t="str">
        <x:f>'Riding comparison'!AC12</x:f>
        <x:v>NDP</x:v>
      </x:c>
      <x:c r="F10" s="30" t="n">
        <x:f>'Riding comparison'!S12</x:f>
        <x:v>-7.440360771099202</x:v>
      </x:c>
      <x:c r="G10" s="28" t="n">
        <x:f>'Riding comparison'!AB12</x:f>
        <x:v>-0.13633897301830022</x:v>
      </x:c>
      <x:c r="H10" t="str">
        <x:f>'Riding comparison'!AH12</x:f>
        <x:v>Close result &lt;=500 votes</x:v>
      </x:c>
    </x:row>
    <x:row r="11">
      <x:c r="A11" t="n">
        <x:f>11-5</x:f>
        <x:v>6</x:v>
      </x:c>
      <x:c r="B11" t="str">
        <x:f>'Riding comparison'!A57</x:f>
        <x:v>Port Coquitlam</x:v>
      </x:c>
      <x:c r="C11" t="str">
        <x:f>'Riding comparison'!AD57</x:f>
        <x:v>NDP</x:v>
      </x:c>
      <x:c r="D11" s="32" t="n">
        <x:f>'Riding comparison'!AF57</x:f>
        <x:v>386</x:v>
      </x:c>
      <x:c r="E11" t="str">
        <x:f>'Riding comparison'!AC57</x:f>
        <x:v>NDP</x:v>
      </x:c>
      <x:c r="F11" s="30" t="n">
        <x:f>'Riding comparison'!S57</x:f>
        <x:v>-8.527486849427296</x:v>
      </x:c>
      <x:c r="G11" s="28" t="n">
        <x:f>'Riding comparison'!AB57</x:f>
        <x:v>-0.16187441715884365</x:v>
      </x:c>
      <x:c r="H11" t="str">
        <x:f>'Riding comparison'!AH57</x:f>
        <x:v>Close result &lt;=500 votes</x:v>
      </x:c>
    </x:row>
    <x:row r="12">
      <x:c r="A12" t="n">
        <x:f>12-5</x:f>
        <x:v>7</x:v>
      </x:c>
      <x:c r="B12" t="str">
        <x:f>'Riding comparison'!A81</x:f>
        <x:v>Vancouver-Fraserview</x:v>
      </x:c>
      <x:c r="C12" t="str">
        <x:f>'Riding comparison'!AD81</x:f>
        <x:v>Conservative</x:v>
      </x:c>
      <x:c r="D12" s="32" t="n">
        <x:f>'Riding comparison'!AF81</x:f>
        <x:v>387</x:v>
      </x:c>
      <x:c r="E12" t="str">
        <x:f>'Riding comparison'!AC81</x:f>
        <x:v>NDP</x:v>
      </x:c>
      <x:c r="F12" s="30" t="n">
        <x:f>'Riding comparison'!S81</x:f>
        <x:v>-15.466884713295482</x:v>
      </x:c>
      <x:c r="G12" s="28" t="n">
        <x:f>'Riding comparison'!AB81</x:f>
        <x:v>-0.22104001917086025</x:v>
      </x:c>
      <x:c r="H12" t="str">
        <x:f>'Riding comparison'!AH81</x:f>
        <x:v>Close result &lt;=500 votes</x:v>
      </x:c>
    </x:row>
    <x:row r="13">
      <x:c r="A13" t="n">
        <x:f>13-5</x:f>
        <x:v>8</x:v>
      </x:c>
      <x:c r="B13" t="str">
        <x:f>'Riding comparison'!A71</x:f>
        <x:v>Surrey City Centre</x:v>
      </x:c>
      <x:c r="C13" t="str">
        <x:f>'Riding comparison'!AD71</x:f>
        <x:v>Conservative</x:v>
      </x:c>
      <x:c r="D13" s="32" t="n">
        <x:f>'Riding comparison'!AF71</x:f>
        <x:v>395</x:v>
      </x:c>
      <x:c r="E13" t="str">
        <x:f>'Riding comparison'!AC71</x:f>
        <x:v>NDP</x:v>
      </x:c>
      <x:c r="F13" s="30" t="n">
        <x:f>'Riding comparison'!S71</x:f>
        <x:v>-2.4965592078441565</x:v>
      </x:c>
      <x:c r="G13" s="28" t="n">
        <x:f>'Riding comparison'!AB71</x:f>
        <x:v>-0.16375606375606377</x:v>
      </x:c>
      <x:c r="H13" t="str">
        <x:f>'Riding comparison'!AH71</x:f>
        <x:v>Green absent 2026; Close result &lt;=500 votes</x:v>
      </x:c>
    </x:row>
    <x:row r="14">
      <x:c r="A14" t="n">
        <x:f>14-5</x:f>
        <x:v>9</x:v>
      </x:c>
      <x:c r="B14" t="str">
        <x:f>'Riding comparison'!A10</x:f>
        <x:v>Bulkley Valley-Stikine</x:v>
      </x:c>
      <x:c r="C14" t="str">
        <x:f>'Riding comparison'!AD10</x:f>
        <x:v>Conservative</x:v>
      </x:c>
      <x:c r="D14" s="32" t="n">
        <x:f>'Riding comparison'!AF10</x:f>
        <x:v>461</x:v>
      </x:c>
      <x:c r="E14" t="str">
        <x:f>'Riding comparison'!AC10</x:f>
        <x:v>Conservative</x:v>
      </x:c>
      <x:c r="F14" s="30" t="n">
        <x:f>'Riding comparison'!S10</x:f>
        <x:v>6.7498561078549795</x:v>
      </x:c>
      <x:c r="G14" s="28" t="n">
        <x:f>'Riding comparison'!AB10</x:f>
        <x:v>-0.10763925175044409</x:v>
      </x:c>
      <x:c r="H14" t="str">
        <x:f>'Riding comparison'!AH10</x:f>
        <x:v>Green absent 2026; Close result &lt;=500 votes</x:v>
      </x:c>
    </x:row>
    <x:row r="15">
      <x:c r="A15" t="n">
        <x:f>15-5</x:f>
        <x:v>10</x:v>
      </x:c>
      <x:c r="B15" t="str">
        <x:f>'Riding comparison'!A34</x:f>
        <x:v>Kootenay Central</x:v>
      </x:c>
      <x:c r="C15" t="str">
        <x:f>'Riding comparison'!AD34</x:f>
        <x:v>NDP</x:v>
      </x:c>
      <x:c r="D15" s="32" t="n">
        <x:f>'Riding comparison'!AF34</x:f>
        <x:v>467</x:v>
      </x:c>
      <x:c r="E15" t="str">
        <x:f>'Riding comparison'!AC34</x:f>
        <x:v>NDP</x:v>
      </x:c>
      <x:c r="F15" s="30" t="n">
        <x:f>'Riding comparison'!S34</x:f>
        <x:v>-0.10883907421245231</x:v>
      </x:c>
      <x:c r="G15" s="28" t="n">
        <x:f>'Riding comparison'!AB34</x:f>
        <x:v>-0.12285558682036857</x:v>
      </x:c>
      <x:c r="H15" t="str">
        <x:f>'Riding comparison'!AH34</x:f>
        <x:v>Close result &lt;=500 votes</x:v>
      </x:c>
    </x:row>
    <x:row r="16">
      <x:c r="A16" t="n">
        <x:f>16-5</x:f>
        <x:v>11</x:v>
      </x:c>
      <x:c r="B16" t="str">
        <x:f>'Riding comparison'!A86</x:f>
        <x:v>Vancouver-Point Grey</x:v>
      </x:c>
      <x:c r="C16" t="str">
        <x:f>'Riding comparison'!AD86</x:f>
        <x:v>NDP</x:v>
      </x:c>
      <x:c r="D16" s="32" t="n">
        <x:f>'Riding comparison'!AF86</x:f>
        <x:v>538</x:v>
      </x:c>
      <x:c r="E16" t="str">
        <x:f>'Riding comparison'!AC86</x:f>
        <x:v>NDP</x:v>
      </x:c>
      <x:c r="F16" s="30" t="n">
        <x:f>'Riding comparison'!S86</x:f>
        <x:v>-13.80440450044717</x:v>
      </x:c>
      <x:c r="G16" s="28" t="n">
        <x:f>'Riding comparison'!AB86</x:f>
        <x:v>-0.1774463276836158</x:v>
      </x:c>
      <x:c r="H16" t="str">
        <x:f>'Riding comparison'!AH86</x:f>
        <x:v>—</x:v>
      </x:c>
    </x:row>
    <x:row r="17">
      <x:c r="A17" t="n">
        <x:f>17-5</x:f>
        <x:v>12</x:v>
      </x:c>
      <x:c r="B17" t="str">
        <x:f>'Riding comparison'!A22</x:f>
        <x:v>Courtenay-Comox</x:v>
      </x:c>
      <x:c r="C17" t="str">
        <x:f>'Riding comparison'!AD22</x:f>
        <x:v>NDP</x:v>
      </x:c>
      <x:c r="D17" s="32" t="n">
        <x:f>'Riding comparison'!AF22</x:f>
        <x:v>696</x:v>
      </x:c>
      <x:c r="E17" t="str">
        <x:f>'Riding comparison'!AC22</x:f>
        <x:v>Conservative</x:v>
      </x:c>
      <x:c r="F17" s="30" t="n">
        <x:f>'Riding comparison'!S22</x:f>
        <x:v>6.512939854722443</x:v>
      </x:c>
      <x:c r="G17" s="28" t="n">
        <x:f>'Riding comparison'!AB22</x:f>
        <x:v>-0.14481369587109771</x:v>
      </x:c>
      <x:c r="H17" t="str">
        <x:f>'Riding comparison'!AH22</x:f>
        <x:v>—</x:v>
      </x:c>
    </x:row>
    <x:row r="18">
      <x:c r="A18" t="n">
        <x:f>18-5</x:f>
        <x:v>13</x:v>
      </x:c>
      <x:c r="B18" t="str">
        <x:f>'Riding comparison'!A28</x:f>
        <x:v>Juan de Fuca-Malahat</x:v>
      </x:c>
      <x:c r="C18" t="str">
        <x:f>'Riding comparison'!AD28</x:f>
        <x:v>Conservative</x:v>
      </x:c>
      <x:c r="D18" s="32" t="n">
        <x:f>'Riding comparison'!AF28</x:f>
        <x:v>768</x:v>
      </x:c>
      <x:c r="E18" t="str">
        <x:f>'Riding comparison'!AC28</x:f>
        <x:v>NDP</x:v>
      </x:c>
      <x:c r="F18" s="30" t="n">
        <x:f>'Riding comparison'!S28</x:f>
        <x:v>-0.6282142636811316</x:v>
      </x:c>
      <x:c r="G18" s="28" t="n">
        <x:f>'Riding comparison'!AB28</x:f>
        <x:v>-0.07461816971159851</x:v>
      </x:c>
      <x:c r="H18" t="str">
        <x:f>'Riding comparison'!AH28</x:f>
        <x:v>—</x:v>
      </x:c>
    </x:row>
    <x:row r="19">
      <x:c r="A19" t="n">
        <x:f>19-5</x:f>
        <x:v>14</x:v>
      </x:c>
      <x:c r="B19" t="str">
        <x:f>'Riding comparison'!A11</x:f>
        <x:v>Burnaby Centre</x:v>
      </x:c>
      <x:c r="C19" t="str">
        <x:f>'Riding comparison'!AD11</x:f>
        <x:v>Conservative</x:v>
      </x:c>
      <x:c r="D19" s="32" t="n">
        <x:f>'Riding comparison'!AF11</x:f>
        <x:v>780</x:v>
      </x:c>
      <x:c r="E19" t="str">
        <x:f>'Riding comparison'!AC11</x:f>
        <x:v>NDP</x:v>
      </x:c>
      <x:c r="F19" s="30" t="n">
        <x:f>'Riding comparison'!S11</x:f>
        <x:v>-15.428925906012026</x:v>
      </x:c>
      <x:c r="G19" s="28" t="n">
        <x:f>'Riding comparison'!AB11</x:f>
        <x:v>-0.16918868583401236</x:v>
      </x:c>
      <x:c r="H19" t="str">
        <x:f>'Riding comparison'!AH11</x:f>
        <x:v>Green absent 2024</x:v>
      </x:c>
    </x:row>
    <x:row r="20">
      <x:c r="A20" t="n">
        <x:f>20-5</x:f>
        <x:v>15</x:v>
      </x:c>
      <x:c r="B20" t="str">
        <x:f>'Riding comparison'!A14</x:f>
        <x:v>Burnaby North</x:v>
      </x:c>
      <x:c r="C20" t="str">
        <x:f>'Riding comparison'!AD14</x:f>
        <x:v>Conservative</x:v>
      </x:c>
      <x:c r="D20" s="32" t="n">
        <x:f>'Riding comparison'!AF14</x:f>
        <x:v>782</x:v>
      </x:c>
      <x:c r="E20" t="str">
        <x:f>'Riding comparison'!AC14</x:f>
        <x:v>NDP</x:v>
      </x:c>
      <x:c r="F20" s="30" t="n">
        <x:f>'Riding comparison'!S14</x:f>
        <x:v>-11.173317406518334</x:v>
      </x:c>
      <x:c r="G20" s="28" t="n">
        <x:f>'Riding comparison'!AB14</x:f>
        <x:v>-0.1171282762721102</x:v>
      </x:c>
      <x:c r="H20" t="str">
        <x:f>'Riding comparison'!AH14</x:f>
        <x:v>Green absent 2024</x:v>
      </x:c>
    </x:row>
    <x:row r="21">
      <x:c r="A21" t="n">
        <x:f>21-5</x:f>
        <x:v>16</x:v>
      </x:c>
      <x:c r="B21" t="str">
        <x:f>'Riding comparison'!A92</x:f>
        <x:v>Vancouver-Yaletown</x:v>
      </x:c>
      <x:c r="C21" t="str">
        <x:f>'Riding comparison'!AD92</x:f>
        <x:v>Conservative</x:v>
      </x:c>
      <x:c r="D21" s="32" t="n">
        <x:f>'Riding comparison'!AF92</x:f>
        <x:v>844</x:v>
      </x:c>
      <x:c r="E21" t="str">
        <x:f>'Riding comparison'!AC92</x:f>
        <x:v>NDP</x:v>
      </x:c>
      <x:c r="F21" s="30" t="n">
        <x:f>'Riding comparison'!S92</x:f>
        <x:v>-8.765490659370851</x:v>
      </x:c>
      <x:c r="G21" s="28" t="n">
        <x:f>'Riding comparison'!AB92</x:f>
        <x:v>-0.20732580556320568</x:v>
      </x:c>
      <x:c r="H21" t="str">
        <x:f>'Riding comparison'!AH92</x:f>
        <x:v>—</x:v>
      </x:c>
    </x:row>
    <x:row r="22">
      <x:c r="A22" t="n">
        <x:f>22-5</x:f>
        <x:v>17</x:v>
      </x:c>
      <x:c r="B22" t="str">
        <x:f>'Riding comparison'!A43</x:f>
        <x:v>Maple Ridge-Pitt Meadows</x:v>
      </x:c>
      <x:c r="C22" t="str">
        <x:f>'Riding comparison'!AD43</x:f>
        <x:v>Conservative</x:v>
      </x:c>
      <x:c r="D22" s="32" t="n">
        <x:f>'Riding comparison'!AF43</x:f>
        <x:v>850</x:v>
      </x:c>
      <x:c r="E22" t="str">
        <x:f>'Riding comparison'!AC43</x:f>
        <x:v>NDP</x:v>
      </x:c>
      <x:c r="F22" s="30" t="n">
        <x:f>'Riding comparison'!S43</x:f>
        <x:v>-10.340951570556273</x:v>
      </x:c>
      <x:c r="G22" s="28" t="n">
        <x:f>'Riding comparison'!AB43</x:f>
        <x:v>-0.1515014164305949</x:v>
      </x:c>
      <x:c r="H22" t="str">
        <x:f>'Riding comparison'!AH43</x:f>
        <x:v>—</x:v>
      </x:c>
    </x:row>
    <x:row r="23">
      <x:c r="A23" t="n">
        <x:f>23-5</x:f>
        <x:v>18</x:v>
      </x:c>
      <x:c r="B23" t="str">
        <x:f>'Riding comparison'!A46</x:f>
        <x:v>Nanaimo-Lantzville</x:v>
      </x:c>
      <x:c r="C23" t="str">
        <x:f>'Riding comparison'!AD46</x:f>
        <x:v>NDP</x:v>
      </x:c>
      <x:c r="D23" s="32" t="n">
        <x:f>'Riding comparison'!AF46</x:f>
        <x:v>866</x:v>
      </x:c>
      <x:c r="E23" t="str">
        <x:f>'Riding comparison'!AC46</x:f>
        <x:v>NDP</x:v>
      </x:c>
      <x:c r="F23" s="30" t="n">
        <x:f>'Riding comparison'!S46</x:f>
        <x:v>-5.091623156589803</x:v>
      </x:c>
      <x:c r="G23" s="28" t="n">
        <x:f>'Riding comparison'!AB46</x:f>
        <x:v>-0.16171505739365288</x:v>
      </x:c>
      <x:c r="H23" t="str">
        <x:f>'Riding comparison'!AH46</x:f>
        <x:v>—</x:v>
      </x:c>
    </x:row>
    <x:row r="24">
      <x:c r="A24" t="n">
        <x:f>24-5</x:f>
        <x:v>19</x:v>
      </x:c>
      <x:c r="B24" t="str">
        <x:f>'Riding comparison'!A58</x:f>
        <x:v>Port Moody-Burquitlam</x:v>
      </x:c>
      <x:c r="C24" t="str">
        <x:f>'Riding comparison'!AD58</x:f>
        <x:v>Conservative</x:v>
      </x:c>
      <x:c r="D24" s="32" t="n">
        <x:f>'Riding comparison'!AF58</x:f>
        <x:v>1078</x:v>
      </x:c>
      <x:c r="E24" t="str">
        <x:f>'Riding comparison'!AC58</x:f>
        <x:v>NDP</x:v>
      </x:c>
      <x:c r="F24" s="30" t="n">
        <x:f>'Riding comparison'!S58</x:f>
        <x:v>-9.922499573842364</x:v>
      </x:c>
      <x:c r="G24" s="28" t="n">
        <x:f>'Riding comparison'!AB58</x:f>
        <x:v>-0.11778985088429084</x:v>
      </x:c>
      <x:c r="H24" t="str">
        <x:f>'Riding comparison'!AH58</x:f>
        <x:v>—</x:v>
      </x:c>
    </x:row>
    <x:row r="25">
      <x:c r="A25" t="n">
        <x:f>25-5</x:f>
        <x:v>20</x:v>
      </x:c>
      <x:c r="B25" t="str">
        <x:f>'Riding comparison'!A56</x:f>
        <x:v>Penticton-Summerland</x:v>
      </x:c>
      <x:c r="C25" t="str">
        <x:f>'Riding comparison'!AD56</x:f>
        <x:v>Conservative</x:v>
      </x:c>
      <x:c r="D25" s="32" t="n">
        <x:f>'Riding comparison'!AF56</x:f>
        <x:v>1119</x:v>
      </x:c>
      <x:c r="E25" t="str">
        <x:f>'Riding comparison'!AC56</x:f>
        <x:v>Conservative</x:v>
      </x:c>
      <x:c r="F25" s="30" t="n">
        <x:f>'Riding comparison'!S56</x:f>
        <x:v>0.929450276380378</x:v>
      </x:c>
      <x:c r="G25" s="28" t="n">
        <x:f>'Riding comparison'!AB56</x:f>
        <x:v>-0.09407578722647214</x:v>
      </x:c>
      <x:c r="H25" t="str">
        <x:f>'Riding comparison'!AH56</x:f>
        <x:v>—</x:v>
      </x:c>
    </x:row>
    <x:row r="26">
      <x:c r="A26" t="n">
        <x:f>26-5</x:f>
        <x:v>21</x:v>
      </x:c>
      <x:c r="B26" t="str">
        <x:f>'Riding comparison'!A38</x:f>
        <x:v>Langford-Highlands</x:v>
      </x:c>
      <x:c r="C26" t="str">
        <x:f>'Riding comparison'!AD38</x:f>
        <x:v>NDP</x:v>
      </x:c>
      <x:c r="D26" s="32" t="n">
        <x:f>'Riding comparison'!AF38</x:f>
        <x:v>1149</x:v>
      </x:c>
      <x:c r="E26" t="str">
        <x:f>'Riding comparison'!AC38</x:f>
        <x:v>NDP</x:v>
      </x:c>
      <x:c r="F26" s="30" t="n">
        <x:f>'Riding comparison'!S38</x:f>
        <x:v>-7.108131591842692</x:v>
      </x:c>
      <x:c r="G26" s="28" t="n">
        <x:f>'Riding comparison'!AB38</x:f>
        <x:v>-0.11561792666364867</x:v>
      </x:c>
      <x:c r="H26" t="str">
        <x:f>'Riding comparison'!AH38</x:f>
        <x:v>—</x:v>
      </x:c>
    </x:row>
    <x:row r="27">
      <x:c r="A27" t="n">
        <x:f>27-5</x:f>
        <x:v>22</x:v>
      </x:c>
      <x:c r="B27" t="str">
        <x:f>'Riding comparison'!A51</x:f>
        <x:v>North Vancouver-Lonsdale</x:v>
      </x:c>
      <x:c r="C27" t="str">
        <x:f>'Riding comparison'!AD51</x:f>
        <x:v>NDP</x:v>
      </x:c>
      <x:c r="D27" s="32" t="n">
        <x:f>'Riding comparison'!AF51</x:f>
        <x:v>1193</x:v>
      </x:c>
      <x:c r="E27" t="str">
        <x:f>'Riding comparison'!AC51</x:f>
        <x:v>NDP</x:v>
      </x:c>
      <x:c r="F27" s="30" t="n">
        <x:f>'Riding comparison'!S51</x:f>
        <x:v>-17.860440656570344</x:v>
      </x:c>
      <x:c r="G27" s="28" t="n">
        <x:f>'Riding comparison'!AB51</x:f>
        <x:v>-0.1526658699255946</x:v>
      </x:c>
      <x:c r="H27" t="str">
        <x:f>'Riding comparison'!AH51</x:f>
        <x:v>Green absent 2024</x:v>
      </x:c>
    </x:row>
    <x:row r="28">
      <x:c r="A28" t="n">
        <x:f>28-5</x:f>
        <x:v>23</x:v>
      </x:c>
      <x:c r="B28" t="str">
        <x:f>'Riding comparison'!A94</x:f>
        <x:v>Victoria-Beacon Hill</x:v>
      </x:c>
      <x:c r="C28" t="str">
        <x:f>'Riding comparison'!AD94</x:f>
        <x:v>NDP</x:v>
      </x:c>
      <x:c r="D28" s="32" t="n">
        <x:f>'Riding comparison'!AF94</x:f>
        <x:v>1218</x:v>
      </x:c>
      <x:c r="E28" t="str">
        <x:f>'Riding comparison'!AC94</x:f>
        <x:v>NDP</x:v>
      </x:c>
      <x:c r="F28" s="30" t="n">
        <x:f>'Riding comparison'!S94</x:f>
        <x:v>-1.6866624535064767</x:v>
      </x:c>
      <x:c r="G28" s="28" t="n">
        <x:f>'Riding comparison'!AB94</x:f>
        <x:v>-0.20654510157387507</x:v>
      </x:c>
      <x:c r="H28" t="str">
        <x:f>'Riding comparison'!AH94</x:f>
        <x:v>—</x:v>
      </x:c>
    </x:row>
    <x:row r="29">
      <x:c r="A29" t="n">
        <x:f>29-5</x:f>
        <x:v>24</x:v>
      </x:c>
      <x:c r="B29" t="str">
        <x:f>'Riding comparison'!A68</x:f>
        <x:v>Saanich South</x:v>
      </x:c>
      <x:c r="C29" t="str">
        <x:f>'Riding comparison'!AD68</x:f>
        <x:v>Conservative</x:v>
      </x:c>
      <x:c r="D29" s="32" t="n">
        <x:f>'Riding comparison'!AF68</x:f>
        <x:v>1227</x:v>
      </x:c>
      <x:c r="E29" t="str">
        <x:f>'Riding comparison'!AC68</x:f>
        <x:v>NDP</x:v>
      </x:c>
      <x:c r="F29" s="30" t="n">
        <x:f>'Riding comparison'!S68</x:f>
        <x:v>-15.045647356439106</x:v>
      </x:c>
      <x:c r="G29" s="28" t="n">
        <x:f>'Riding comparison'!AB68</x:f>
        <x:v>-0.12921930677032722</x:v>
      </x:c>
      <x:c r="H29" t="str">
        <x:f>'Riding comparison'!AH68</x:f>
        <x:v>—</x:v>
      </x:c>
    </x:row>
    <x:row r="30">
      <x:c r="A30" t="n">
        <x:f>30-5</x:f>
        <x:v>25</x:v>
      </x:c>
      <x:c r="B30" t="str">
        <x:f>'Riding comparison'!A50</x:f>
        <x:v>North Island</x:v>
      </x:c>
      <x:c r="C30" t="str">
        <x:f>'Riding comparison'!AD50</x:f>
        <x:v>Conservative</x:v>
      </x:c>
      <x:c r="D30" s="32" t="n">
        <x:f>'Riding comparison'!AF50</x:f>
        <x:v>1376</x:v>
      </x:c>
      <x:c r="E30" t="str">
        <x:f>'Riding comparison'!AC50</x:f>
        <x:v>Conservative</x:v>
      </x:c>
      <x:c r="F30" s="30" t="n">
        <x:f>'Riding comparison'!S50</x:f>
        <x:v>-2.5848561773852197</x:v>
      </x:c>
      <x:c r="G30" s="28" t="n">
        <x:f>'Riding comparison'!AB50</x:f>
        <x:v>-0.1570575877821868</x:v>
      </x:c>
      <x:c r="H30" t="str">
        <x:f>'Riding comparison'!AH50</x:f>
        <x:v>—</x:v>
      </x:c>
    </x:row>
    <x:row r="31">
      <x:c r="A31" t="n">
        <x:f>31-5</x:f>
        <x:v>26</x:v>
      </x:c>
      <x:c r="B31" t="str">
        <x:f>'Riding comparison'!A74</x:f>
        <x:v>Surrey-Guildford</x:v>
      </x:c>
      <x:c r="C31" t="str">
        <x:f>'Riding comparison'!AD74</x:f>
        <x:v>Conservative</x:v>
      </x:c>
      <x:c r="D31" s="32" t="n">
        <x:f>'Riding comparison'!AF74</x:f>
        <x:v>1472</x:v>
      </x:c>
      <x:c r="E31" t="str">
        <x:f>'Riding comparison'!AC74</x:f>
        <x:v>NDP</x:v>
      </x:c>
      <x:c r="F31" s="30" t="n">
        <x:f>'Riding comparison'!S74</x:f>
        <x:v>-5.901663918597066</x:v>
      </x:c>
      <x:c r="G31" s="28" t="n">
        <x:f>'Riding comparison'!AB74</x:f>
        <x:v>-0.1977475117862756</x:v>
      </x:c>
      <x:c r="H31" t="str">
        <x:f>'Riding comparison'!AH74</x:f>
        <x:v>—</x:v>
      </x:c>
    </x:row>
    <x:row r="32">
      <x:c r="A32" t="n">
        <x:f>32-5</x:f>
        <x:v>27</x:v>
      </x:c>
      <x:c r="B32" t="str">
        <x:f>'Riding comparison'!A70</x:f>
        <x:v>Skeena</x:v>
      </x:c>
      <x:c r="C32" t="str">
        <x:f>'Riding comparison'!AD70</x:f>
        <x:v>Conservative</x:v>
      </x:c>
      <x:c r="D32" s="32" t="n">
        <x:f>'Riding comparison'!AF70</x:f>
        <x:v>1528</x:v>
      </x:c>
      <x:c r="E32" t="str">
        <x:f>'Riding comparison'!AC70</x:f>
        <x:v>Conservative</x:v>
      </x:c>
      <x:c r="F32" s="30" t="n">
        <x:f>'Riding comparison'!S70</x:f>
        <x:v>-6.9078957823534735</x:v>
      </x:c>
      <x:c r="G32" s="28" t="n">
        <x:f>'Riding comparison'!AB70</x:f>
        <x:v>-0.10288941638700166</x:v>
      </x:c>
      <x:c r="H32" t="str">
        <x:f>'Riding comparison'!AH70</x:f>
        <x:v>—</x:v>
      </x:c>
    </x:row>
    <x:row r="33">
      <x:c r="A33" t="n">
        <x:f>33-5</x:f>
        <x:v>28</x:v>
      </x:c>
      <x:c r="B33" t="str">
        <x:f>'Riding comparison'!A21</x:f>
        <x:v>Coquitlam-Maillardville</x:v>
      </x:c>
      <x:c r="C33" t="str">
        <x:f>'Riding comparison'!AD21</x:f>
        <x:v>Conservative</x:v>
      </x:c>
      <x:c r="D33" s="32" t="n">
        <x:f>'Riding comparison'!AF21</x:f>
        <x:v>1569</x:v>
      </x:c>
      <x:c r="E33" t="str">
        <x:f>'Riding comparison'!AC21</x:f>
        <x:v>NDP</x:v>
      </x:c>
      <x:c r="F33" s="30" t="n">
        <x:f>'Riding comparison'!S21</x:f>
        <x:v>-10.29660754360181</x:v>
      </x:c>
      <x:c r="G33" s="28" t="n">
        <x:f>'Riding comparison'!AB21</x:f>
        <x:v>-0.1594209161624892</x:v>
      </x:c>
      <x:c r="H33" t="str">
        <x:f>'Riding comparison'!AH21</x:f>
        <x:v>—</x:v>
      </x:c>
    </x:row>
    <x:row r="34">
      <x:c r="A34" t="n">
        <x:f>34-5</x:f>
        <x:v>29</x:v>
      </x:c>
      <x:c r="B34" t="str">
        <x:f>'Riding comparison'!A13</x:f>
        <x:v>Burnaby-New Westminster</x:v>
      </x:c>
      <x:c r="C34" t="str">
        <x:f>'Riding comparison'!AD13</x:f>
        <x:v>NDP</x:v>
      </x:c>
      <x:c r="D34" s="32" t="n">
        <x:f>'Riding comparison'!AF13</x:f>
        <x:v>1585</x:v>
      </x:c>
      <x:c r="E34" t="str">
        <x:f>'Riding comparison'!AC13</x:f>
        <x:v>NDP</x:v>
      </x:c>
      <x:c r="F34" s="30" t="n">
        <x:f>'Riding comparison'!S13</x:f>
        <x:v>-4.292927525505153</x:v>
      </x:c>
      <x:c r="G34" s="28" t="n">
        <x:f>'Riding comparison'!AB13</x:f>
        <x:v>-0.19308179626618827</x:v>
      </x:c>
      <x:c r="H34" t="str">
        <x:f>'Riding comparison'!AH13</x:f>
        <x:v>—</x:v>
      </x:c>
    </x:row>
    <x:row r="35">
      <x:c r="A35" t="n">
        <x:f>35-5</x:f>
        <x:v>30</x:v>
      </x:c>
      <x:c r="B35" t="str">
        <x:f>'Riding comparison'!A53</x:f>
        <x:v>Oak Bay-Gordon Head</x:v>
      </x:c>
      <x:c r="C35" t="str">
        <x:f>'Riding comparison'!AD53</x:f>
        <x:v>NDP</x:v>
      </x:c>
      <x:c r="D35" s="32" t="n">
        <x:f>'Riding comparison'!AF53</x:f>
        <x:v>1601</x:v>
      </x:c>
      <x:c r="E35" t="str">
        <x:f>'Riding comparison'!AC53</x:f>
        <x:v>NDP</x:v>
      </x:c>
      <x:c r="F35" s="30" t="n">
        <x:f>'Riding comparison'!S53</x:f>
        <x:v>-12.064893561740531</x:v>
      </x:c>
      <x:c r="G35" s="28" t="n">
        <x:f>'Riding comparison'!AB53</x:f>
        <x:v>-0.1604725738396624</x:v>
      </x:c>
      <x:c r="H35" t="str">
        <x:f>'Riding comparison'!AH53</x:f>
        <x:v>—</x:v>
      </x:c>
    </x:row>
    <x:row r="36">
      <x:c r="A36" t="n">
        <x:f>36-5</x:f>
        <x:v>31</x:v>
      </x:c>
      <x:c r="B36" t="str">
        <x:f>'Riding comparison'!A44</x:f>
        <x:v>Mid Island-Pacific Rim</x:v>
      </x:c>
      <x:c r="C36" t="str">
        <x:f>'Riding comparison'!AD44</x:f>
        <x:v>NDP</x:v>
      </x:c>
      <x:c r="D36" s="32" t="n">
        <x:f>'Riding comparison'!AF44</x:f>
        <x:v>1615</x:v>
      </x:c>
      <x:c r="E36" t="str">
        <x:f>'Riding comparison'!AC44</x:f>
        <x:v>NDP</x:v>
      </x:c>
      <x:c r="F36" s="30" t="n">
        <x:f>'Riding comparison'!S44</x:f>
        <x:v>-1.863545609736983</x:v>
      </x:c>
      <x:c r="G36" s="28" t="n">
        <x:f>'Riding comparison'!AB44</x:f>
        <x:v>-0.11798531245669941</x:v>
      </x:c>
      <x:c r="H36" t="str">
        <x:f>'Riding comparison'!AH44</x:f>
        <x:v>—</x:v>
      </x:c>
    </x:row>
    <x:row r="37">
      <x:c r="A37" t="n">
        <x:f>37-5</x:f>
        <x:v>32</x:v>
      </x:c>
      <x:c r="B37" t="str">
        <x:f>'Riding comparison'!A84</x:f>
        <x:v>Vancouver-Langara</x:v>
      </x:c>
      <x:c r="C37" t="str">
        <x:f>'Riding comparison'!AD84</x:f>
        <x:v>Conservative</x:v>
      </x:c>
      <x:c r="D37" s="32" t="n">
        <x:f>'Riding comparison'!AF84</x:f>
        <x:v>1650</x:v>
      </x:c>
      <x:c r="E37" t="str">
        <x:f>'Riding comparison'!AC84</x:f>
        <x:v>NDP</x:v>
      </x:c>
      <x:c r="F37" s="30" t="n">
        <x:f>'Riding comparison'!S84</x:f>
        <x:v>-9.455000791362705</x:v>
      </x:c>
      <x:c r="G37" s="28" t="n">
        <x:f>'Riding comparison'!AB84</x:f>
        <x:v>-0.19067098460314758</x:v>
      </x:c>
      <x:c r="H37" t="str">
        <x:f>'Riding comparison'!AH84</x:f>
        <x:v>—</x:v>
      </x:c>
    </x:row>
    <x:row r="38">
      <x:c r="A38" t="n">
        <x:f>38-5</x:f>
        <x:v>33</x:v>
      </x:c>
      <x:c r="B38" t="str">
        <x:f>'Riding comparison'!A83</x:f>
        <x:v>Vancouver-Kensington</x:v>
      </x:c>
      <x:c r="C38" t="str">
        <x:f>'Riding comparison'!AD83</x:f>
        <x:v>NDP</x:v>
      </x:c>
      <x:c r="D38" s="32" t="n">
        <x:f>'Riding comparison'!AF83</x:f>
        <x:v>1679</x:v>
      </x:c>
      <x:c r="E38" t="str">
        <x:f>'Riding comparison'!AC83</x:f>
        <x:v>NDP</x:v>
      </x:c>
      <x:c r="F38" s="30" t="n">
        <x:f>'Riding comparison'!S83</x:f>
        <x:v>-14.228912193203296</x:v>
      </x:c>
      <x:c r="G38" s="28" t="n">
        <x:f>'Riding comparison'!AB83</x:f>
        <x:v>-0.18999222193414567</x:v>
      </x:c>
      <x:c r="H38" t="str">
        <x:f>'Riding comparison'!AH83</x:f>
        <x:v>—</x:v>
      </x:c>
    </x:row>
    <x:row r="39">
      <x:c r="A39" t="n">
        <x:f>39-5</x:f>
        <x:v>34</x:v>
      </x:c>
      <x:c r="B39" t="str">
        <x:f>'Riding comparison'!A95</x:f>
        <x:v>Victoria-Swan Lake</x:v>
      </x:c>
      <x:c r="C39" t="str">
        <x:f>'Riding comparison'!AD95</x:f>
        <x:v>NDP</x:v>
      </x:c>
      <x:c r="D39" s="32" t="n">
        <x:f>'Riding comparison'!AF95</x:f>
        <x:v>1780</x:v>
      </x:c>
      <x:c r="E39" t="str">
        <x:f>'Riding comparison'!AC95</x:f>
        <x:v>NDP</x:v>
      </x:c>
      <x:c r="F39" s="30" t="n">
        <x:f>'Riding comparison'!S95</x:f>
        <x:v>-12.38730883491696</x:v>
      </x:c>
      <x:c r="G39" s="28" t="n">
        <x:f>'Riding comparison'!AB95</x:f>
        <x:v>-0.16810969637610185</x:v>
      </x:c>
      <x:c r="H39" t="str">
        <x:f>'Riding comparison'!AH95</x:f>
        <x:v>—</x:v>
      </x:c>
    </x:row>
    <x:row r="40">
      <x:c r="A40" t="n">
        <x:f>40-5</x:f>
        <x:v>35</x:v>
      </x:c>
      <x:c r="B40" t="str">
        <x:f>'Riding comparison'!A75</x:f>
        <x:v>Surrey-Newton</x:v>
      </x:c>
      <x:c r="C40" t="str">
        <x:f>'Riding comparison'!AD75</x:f>
        <x:v>Conservative</x:v>
      </x:c>
      <x:c r="D40" s="32" t="n">
        <x:f>'Riding comparison'!AF75</x:f>
        <x:v>1858</x:v>
      </x:c>
      <x:c r="E40" t="str">
        <x:f>'Riding comparison'!AC75</x:f>
        <x:v>NDP</x:v>
      </x:c>
      <x:c r="F40" s="30" t="n">
        <x:f>'Riding comparison'!S75</x:f>
        <x:v>-10.470172577208947</x:v>
      </x:c>
      <x:c r="G40" s="28" t="n">
        <x:f>'Riding comparison'!AB75</x:f>
        <x:v>-0.13039556758149728</x:v>
      </x:c>
      <x:c r="H40" t="str">
        <x:f>'Riding comparison'!AH75</x:f>
        <x:v>—</x:v>
      </x:c>
    </x:row>
    <x:row r="41">
      <x:c r="A41" t="n">
        <x:f>41-5</x:f>
        <x:v>36</x:v>
      </x:c>
      <x:c r="B41" t="str">
        <x:f>'Riding comparison'!A35</x:f>
        <x:v>Kootenay-Monashee</x:v>
      </x:c>
      <x:c r="C41" t="str">
        <x:f>'Riding comparison'!AD35</x:f>
        <x:v>NDP</x:v>
      </x:c>
      <x:c r="D41" s="32" t="n">
        <x:f>'Riding comparison'!AF35</x:f>
        <x:v>1894</x:v>
      </x:c>
      <x:c r="E41" t="str">
        <x:f>'Riding comparison'!AC35</x:f>
        <x:v>NDP</x:v>
      </x:c>
      <x:c r="F41" s="30" t="n">
        <x:f>'Riding comparison'!S35</x:f>
        <x:v>-4.011957794880056</x:v>
      </x:c>
      <x:c r="G41" s="28" t="n">
        <x:f>'Riding comparison'!AB35</x:f>
        <x:v>-0.09528657233024529</x:v>
      </x:c>
      <x:c r="H41" t="str">
        <x:f>'Riding comparison'!AH35</x:f>
        <x:v>—</x:v>
      </x:c>
    </x:row>
    <x:row r="42">
      <x:c r="A42" t="n">
        <x:f>42-5</x:f>
        <x:v>37</x:v>
      </x:c>
      <x:c r="B42" t="str">
        <x:f>'Riding comparison'!A98</x:f>
        <x:v>West Vancouver-Sea to Sky</x:v>
      </x:c>
      <x:c r="C42" t="str">
        <x:f>'Riding comparison'!AD98</x:f>
        <x:v>Green</x:v>
      </x:c>
      <x:c r="D42" s="32" t="n">
        <x:f>'Riding comparison'!AF98</x:f>
        <x:v>2025</x:v>
      </x:c>
      <x:c r="E42" t="str">
        <x:f>'Riding comparison'!AC98</x:f>
        <x:v>Green</x:v>
      </x:c>
      <x:c r="F42" s="30" t="n">
        <x:f>'Riding comparison'!S98</x:f>
        <x:v>-15.973596131163752</x:v>
      </x:c>
      <x:c r="G42" s="28" t="n">
        <x:f>'Riding comparison'!AB98</x:f>
        <x:v>-0.19484209376024475</x:v>
      </x:c>
      <x:c r="H42" t="str">
        <x:f>'Riding comparison'!AH98</x:f>
        <x:v>—</x:v>
      </x:c>
    </x:row>
    <x:row r="43">
      <x:c r="A43" t="n">
        <x:f>43-5</x:f>
        <x:v>38</x:v>
      </x:c>
      <x:c r="B43" t="str">
        <x:f>'Riding comparison'!A49</x:f>
        <x:v>North Coast-Haida Gwaii</x:v>
      </x:c>
      <x:c r="C43" t="str">
        <x:f>'Riding comparison'!AD49</x:f>
        <x:v>NDP</x:v>
      </x:c>
      <x:c r="D43" s="32" t="n">
        <x:f>'Riding comparison'!AF49</x:f>
        <x:v>2150</x:v>
      </x:c>
      <x:c r="E43" t="str">
        <x:f>'Riding comparison'!AC49</x:f>
        <x:v>NDP</x:v>
      </x:c>
      <x:c r="F43" s="30" t="n">
        <x:f>'Riding comparison'!S49</x:f>
        <x:v>-3.473945771175979</x:v>
      </x:c>
      <x:c r="G43" s="28" t="n">
        <x:f>'Riding comparison'!AB49</x:f>
        <x:v>-0.12211614956245032</x:v>
      </x:c>
      <x:c r="H43" t="str">
        <x:f>'Riding comparison'!AH49</x:f>
        <x:v>Green absent 2024</x:v>
      </x:c>
    </x:row>
    <x:row r="44">
      <x:c r="A44" t="n">
        <x:f>44-5</x:f>
        <x:v>39</x:v>
      </x:c>
      <x:c r="B44" t="str">
        <x:f>'Riding comparison'!A73</x:f>
        <x:v>Surrey-Fleetwood</x:v>
      </x:c>
      <x:c r="C44" t="str">
        <x:f>'Riding comparison'!AD73</x:f>
        <x:v>Conservative</x:v>
      </x:c>
      <x:c r="D44" s="32" t="n">
        <x:f>'Riding comparison'!AF73</x:f>
        <x:v>2169</x:v>
      </x:c>
      <x:c r="E44" t="str">
        <x:f>'Riding comparison'!AC73</x:f>
        <x:v>NDP</x:v>
      </x:c>
      <x:c r="F44" s="30" t="n">
        <x:f>'Riding comparison'!S73</x:f>
        <x:v>-10.54857379416938</x:v>
      </x:c>
      <x:c r="G44" s="28" t="n">
        <x:f>'Riding comparison'!AB73</x:f>
        <x:v>-0.16037181996086103</x:v>
      </x:c>
      <x:c r="H44" t="str">
        <x:f>'Riding comparison'!AH73</x:f>
        <x:v>—</x:v>
      </x:c>
    </x:row>
    <x:row r="45">
      <x:c r="A45" t="n">
        <x:f>45-5</x:f>
        <x:v>40</x:v>
      </x:c>
      <x:c r="B45" t="str">
        <x:f>'Riding comparison'!A24</x:f>
        <x:v>Delta North</x:v>
      </x:c>
      <x:c r="C45" t="str">
        <x:f>'Riding comparison'!AD24</x:f>
        <x:v>Conservative</x:v>
      </x:c>
      <x:c r="D45" s="32" t="n">
        <x:f>'Riding comparison'!AF24</x:f>
        <x:v>2371</x:v>
      </x:c>
      <x:c r="E45" t="str">
        <x:f>'Riding comparison'!AC24</x:f>
        <x:v>NDP</x:v>
      </x:c>
      <x:c r="F45" s="30" t="n">
        <x:f>'Riding comparison'!S24</x:f>
        <x:v>-12.119091329121234</x:v>
      </x:c>
      <x:c r="G45" s="28" t="n">
        <x:f>'Riding comparison'!AB24</x:f>
        <x:v>-0.12157501437056906</x:v>
      </x:c>
      <x:c r="H45" t="str">
        <x:f>'Riding comparison'!AH24</x:f>
        <x:v>Green absent 2026</x:v>
      </x:c>
    </x:row>
    <x:row r="46">
      <x:c r="A46" t="n">
        <x:f>46-5</x:f>
        <x:v>41</x:v>
      </x:c>
      <x:c r="B46" t="str">
        <x:f>'Riding comparison'!A52</x:f>
        <x:v>North Vancouver-Seymour</x:v>
      </x:c>
      <x:c r="C46" t="str">
        <x:f>'Riding comparison'!AD52</x:f>
        <x:v>Conservative</x:v>
      </x:c>
      <x:c r="D46" s="32" t="n">
        <x:f>'Riding comparison'!AF52</x:f>
        <x:v>2466</x:v>
      </x:c>
      <x:c r="E46" t="str">
        <x:f>'Riding comparison'!AC52</x:f>
        <x:v>NDP</x:v>
      </x:c>
      <x:c r="F46" s="30" t="n">
        <x:f>'Riding comparison'!S52</x:f>
        <x:v>-15.343765931272857</x:v>
      </x:c>
      <x:c r="G46" s="28" t="n">
        <x:f>'Riding comparison'!AB52</x:f>
        <x:v>-0.14388816644993496</x:v>
      </x:c>
      <x:c r="H46" t="str">
        <x:f>'Riding comparison'!AH52</x:f>
        <x:v>—</x:v>
      </x:c>
    </x:row>
    <x:row r="47">
      <x:c r="A47" t="n">
        <x:f>47-5</x:f>
        <x:v>42</x:v>
      </x:c>
      <x:c r="B47" t="str">
        <x:f>'Riding comparison'!A20</x:f>
        <x:v>Coquitlam-Burke Mountain</x:v>
      </x:c>
      <x:c r="C47" t="str">
        <x:f>'Riding comparison'!AD20</x:f>
        <x:v>Conservative</x:v>
      </x:c>
      <x:c r="D47" s="32" t="n">
        <x:f>'Riding comparison'!AF20</x:f>
        <x:v>2491</x:v>
      </x:c>
      <x:c r="E47" t="str">
        <x:f>'Riding comparison'!AC20</x:f>
        <x:v>NDP</x:v>
      </x:c>
      <x:c r="F47" s="30" t="n">
        <x:f>'Riding comparison'!S20</x:f>
        <x:v>-11.598338389641855</x:v>
      </x:c>
      <x:c r="G47" s="28" t="n">
        <x:f>'Riding comparison'!AB20</x:f>
        <x:v>-0.14145915648258756</x:v>
      </x:c>
      <x:c r="H47" t="str">
        <x:f>'Riding comparison'!AH20</x:f>
        <x:v>Green absent 2024</x:v>
      </x:c>
    </x:row>
    <x:row r="48">
      <x:c r="A48" t="n">
        <x:f>48-5</x:f>
        <x:v>43</x:v>
      </x:c>
      <x:c r="B48" t="str">
        <x:f>'Riding comparison'!A9</x:f>
        <x:v>Boundary-Similkameen</x:v>
      </x:c>
      <x:c r="C48" t="str">
        <x:f>'Riding comparison'!AD9</x:f>
        <x:v>Conservative</x:v>
      </x:c>
      <x:c r="D48" s="32" t="n">
        <x:f>'Riding comparison'!AF9</x:f>
        <x:v>2595</x:v>
      </x:c>
      <x:c r="E48" t="str">
        <x:f>'Riding comparison'!AC9</x:f>
        <x:v>Conservative</x:v>
      </x:c>
      <x:c r="F48" s="30" t="n">
        <x:f>'Riding comparison'!S9</x:f>
        <x:v>-1.9261233836199376</x:v>
      </x:c>
      <x:c r="G48" s="28" t="n">
        <x:f>'Riding comparison'!AB9</x:f>
        <x:v>-0.1138820290676491</x:v>
      </x:c>
      <x:c r="H48" t="str">
        <x:f>'Riding comparison'!AH9</x:f>
        <x:v>Green absent 2026</x:v>
      </x:c>
    </x:row>
    <x:row r="49">
      <x:c r="A49" t="n">
        <x:f>49-5</x:f>
        <x:v>44</x:v>
      </x:c>
      <x:c r="B49" t="str">
        <x:f>'Riding comparison'!A59</x:f>
        <x:v>Powell River-Sunshine Coast</x:v>
      </x:c>
      <x:c r="C49" t="str">
        <x:f>'Riding comparison'!AD59</x:f>
        <x:v>NDP</x:v>
      </x:c>
      <x:c r="D49" s="32" t="n">
        <x:f>'Riding comparison'!AF59</x:f>
        <x:v>2627</x:v>
      </x:c>
      <x:c r="E49" t="str">
        <x:f>'Riding comparison'!AC59</x:f>
        <x:v>NDP</x:v>
      </x:c>
      <x:c r="F49" s="30" t="n">
        <x:f>'Riding comparison'!S59</x:f>
        <x:v>-0.5316793759855998</x:v>
      </x:c>
      <x:c r="G49" s="28" t="n">
        <x:f>'Riding comparison'!AB59</x:f>
        <x:v>-0.10671963833139253</x:v>
      </x:c>
      <x:c r="H49" t="str">
        <x:f>'Riding comparison'!AH59</x:f>
        <x:v>—</x:v>
      </x:c>
    </x:row>
    <x:row r="50">
      <x:c r="A50" t="n">
        <x:f>50-5</x:f>
        <x:v>45</x:v>
      </x:c>
      <x:c r="B50" t="str">
        <x:f>'Riding comparison'!A19</x:f>
        <x:v>Columbia River-Revelstoke</x:v>
      </x:c>
      <x:c r="C50" t="str">
        <x:f>'Riding comparison'!AD19</x:f>
        <x:v>Conservative</x:v>
      </x:c>
      <x:c r="D50" s="32" t="n">
        <x:f>'Riding comparison'!AF19</x:f>
        <x:v>2793</x:v>
      </x:c>
      <x:c r="E50" t="str">
        <x:f>'Riding comparison'!AC19</x:f>
        <x:v>Conservative</x:v>
      </x:c>
      <x:c r="F50" s="30" t="n">
        <x:f>'Riding comparison'!S19</x:f>
        <x:v>-8.239313085952244</x:v>
      </x:c>
      <x:c r="G50" s="28" t="n">
        <x:f>'Riding comparison'!AB19</x:f>
        <x:v>-0.07498500299940014</x:v>
      </x:c>
      <x:c r="H50" t="str">
        <x:f>'Riding comparison'!AH19</x:f>
        <x:v>—</x:v>
      </x:c>
    </x:row>
    <x:row r="51">
      <x:c r="A51" t="n">
        <x:f>51-5</x:f>
        <x:v>46</x:v>
      </x:c>
      <x:c r="B51" t="str">
        <x:f>'Riding comparison'!A45</x:f>
        <x:v>Nanaimo-Gabriola Island</x:v>
      </x:c>
      <x:c r="C51" t="str">
        <x:f>'Riding comparison'!AD45</x:f>
        <x:v>NDP</x:v>
      </x:c>
      <x:c r="D51" s="32" t="n">
        <x:f>'Riding comparison'!AF45</x:f>
        <x:v>2817</x:v>
      </x:c>
      <x:c r="E51" t="str">
        <x:f>'Riding comparison'!AC45</x:f>
        <x:v>NDP</x:v>
      </x:c>
      <x:c r="F51" s="30" t="n">
        <x:f>'Riding comparison'!S45</x:f>
        <x:v>-4.647847782608983</x:v>
      </x:c>
      <x:c r="G51" s="28" t="n">
        <x:f>'Riding comparison'!AB45</x:f>
        <x:v>-0.17153114342128883</x:v>
      </x:c>
      <x:c r="H51" t="str">
        <x:f>'Riding comparison'!AH45</x:f>
        <x:v>—</x:v>
      </x:c>
    </x:row>
    <x:row r="52">
      <x:c r="A52" t="n">
        <x:f>52-5</x:f>
        <x:v>47</x:v>
      </x:c>
      <x:c r="B52" t="str">
        <x:f>'Riding comparison'!A62</x:f>
        <x:v>Prince George-Valemount</x:v>
      </x:c>
      <x:c r="C52" t="str">
        <x:f>'Riding comparison'!AD62</x:f>
        <x:v>Conservative</x:v>
      </x:c>
      <x:c r="D52" s="32" t="n">
        <x:f>'Riding comparison'!AF62</x:f>
        <x:v>2823</x:v>
      </x:c>
      <x:c r="E52" t="str">
        <x:f>'Riding comparison'!AC62</x:f>
        <x:v>Conservative</x:v>
      </x:c>
      <x:c r="F52" s="30" t="n">
        <x:f>'Riding comparison'!S62</x:f>
        <x:v>-5.685124904458866</x:v>
      </x:c>
      <x:c r="G52" s="28" t="n">
        <x:f>'Riding comparison'!AB62</x:f>
        <x:v>-0.21114638017336096</x:v>
      </x:c>
      <x:c r="H52" t="str">
        <x:f>'Riding comparison'!AH62</x:f>
        <x:v>—</x:v>
      </x:c>
    </x:row>
    <x:row r="53">
      <x:c r="A53" t="n">
        <x:f>53-5</x:f>
        <x:v>48</x:v>
      </x:c>
      <x:c r="B53" t="str">
        <x:f>'Riding comparison'!A48</x:f>
        <x:v>New Westminster-Coquitlam</x:v>
      </x:c>
      <x:c r="C53" t="str">
        <x:f>'Riding comparison'!AD48</x:f>
        <x:v>NDP</x:v>
      </x:c>
      <x:c r="D53" s="32" t="n">
        <x:f>'Riding comparison'!AF48</x:f>
        <x:v>2974</x:v>
      </x:c>
      <x:c r="E53" t="str">
        <x:f>'Riding comparison'!AC48</x:f>
        <x:v>NDP</x:v>
      </x:c>
      <x:c r="F53" s="30" t="n">
        <x:f>'Riding comparison'!S48</x:f>
        <x:v>-8.759897523449867</x:v>
      </x:c>
      <x:c r="G53" s="28" t="n">
        <x:f>'Riding comparison'!AB48</x:f>
        <x:v>-0.1430816883176922</x:v>
      </x:c>
      <x:c r="H53" t="str">
        <x:f>'Riding comparison'!AH48</x:f>
        <x:v>—</x:v>
      </x:c>
    </x:row>
    <x:row r="54">
      <x:c r="A54" t="n">
        <x:f>54-5</x:f>
        <x:v>49</x:v>
      </x:c>
      <x:c r="B54" t="str">
        <x:f>'Riding comparison'!A64</x:f>
        <x:v>Richmond Centre</x:v>
      </x:c>
      <x:c r="C54" t="str">
        <x:f>'Riding comparison'!AD64</x:f>
        <x:v>Conservative</x:v>
      </x:c>
      <x:c r="D54" s="32" t="n">
        <x:f>'Riding comparison'!AF64</x:f>
        <x:v>3058</x:v>
      </x:c>
      <x:c r="E54" t="str">
        <x:f>'Riding comparison'!AC64</x:f>
        <x:v>Conservative</x:v>
      </x:c>
      <x:c r="F54" s="30" t="n">
        <x:f>'Riding comparison'!S64</x:f>
        <x:v>-2.9135614489672057</x:v>
      </x:c>
      <x:c r="G54" s="28" t="n">
        <x:f>'Riding comparison'!AB64</x:f>
        <x:v>-0.20701948490995148</x:v>
      </x:c>
      <x:c r="H54" t="str">
        <x:f>'Riding comparison'!AH64</x:f>
        <x:v>Green absent 2024</x:v>
      </x:c>
    </x:row>
    <x:row r="55">
      <x:c r="A55" t="n">
        <x:f>55-5</x:f>
        <x:v>50</x:v>
      </x:c>
      <x:c r="B55" t="str">
        <x:f>'Riding comparison'!A85</x:f>
        <x:v>Vancouver-Little Mountain</x:v>
      </x:c>
      <x:c r="C55" t="str">
        <x:f>'Riding comparison'!AD85</x:f>
        <x:v>NDP</x:v>
      </x:c>
      <x:c r="D55" s="32" t="n">
        <x:f>'Riding comparison'!AF85</x:f>
        <x:v>3070</x:v>
      </x:c>
      <x:c r="E55" t="str">
        <x:f>'Riding comparison'!AC85</x:f>
        <x:v>NDP</x:v>
      </x:c>
      <x:c r="F55" s="30" t="n">
        <x:f>'Riding comparison'!S85</x:f>
        <x:v>-12.971561922286384</x:v>
      </x:c>
      <x:c r="G55" s="28" t="n">
        <x:f>'Riding comparison'!AB85</x:f>
        <x:v>-0.1801537607989221</x:v>
      </x:c>
      <x:c r="H55" t="str">
        <x:f>'Riding comparison'!AH85</x:f>
        <x:v>—</x:v>
      </x:c>
    </x:row>
    <x:row r="56">
      <x:c r="A56" t="n">
        <x:f>56-5</x:f>
        <x:v>51</x:v>
      </x:c>
      <x:c r="B56" t="str">
        <x:f>'Riding comparison'!A41</x:f>
        <x:v>Langley-Willowbrook</x:v>
      </x:c>
      <x:c r="C56" t="str">
        <x:f>'Riding comparison'!AD41</x:f>
        <x:v>Conservative</x:v>
      </x:c>
      <x:c r="D56" s="32" t="n">
        <x:f>'Riding comparison'!AF41</x:f>
        <x:v>3144</x:v>
      </x:c>
      <x:c r="E56" t="str">
        <x:f>'Riding comparison'!AC41</x:f>
        <x:v>Conservative</x:v>
      </x:c>
      <x:c r="F56" s="30" t="n">
        <x:f>'Riding comparison'!S41</x:f>
        <x:v>-8.454662923342093</x:v>
      </x:c>
      <x:c r="G56" s="28" t="n">
        <x:f>'Riding comparison'!AB41</x:f>
        <x:v>-0.1641863119539927</x:v>
      </x:c>
      <x:c r="H56" t="str">
        <x:f>'Riding comparison'!AH41</x:f>
        <x:v>—</x:v>
      </x:c>
    </x:row>
    <x:row r="57">
      <x:c r="A57" t="n">
        <x:f>57-5</x:f>
        <x:v>52</x:v>
      </x:c>
      <x:c r="B57" t="str">
        <x:f>'Riding comparison'!A93</x:f>
        <x:v>Vernon-Lumby</x:v>
      </x:c>
      <x:c r="C57" t="str">
        <x:f>'Riding comparison'!AD93</x:f>
        <x:v>Conservative</x:v>
      </x:c>
      <x:c r="D57" s="32" t="n">
        <x:f>'Riding comparison'!AF93</x:f>
        <x:v>3254</x:v>
      </x:c>
      <x:c r="E57" t="str">
        <x:f>'Riding comparison'!AC93</x:f>
        <x:v>NDP</x:v>
      </x:c>
      <x:c r="F57" s="30" t="n">
        <x:f>'Riding comparison'!S93</x:f>
        <x:v>-4.8946486692097775</x:v>
      </x:c>
      <x:c r="G57" s="28" t="n">
        <x:f>'Riding comparison'!AB93</x:f>
        <x:v>-0.09911822926039227</x:v>
      </x:c>
      <x:c r="H57" t="str">
        <x:f>'Riding comparison'!AH93</x:f>
        <x:v>Green absent 2024</x:v>
      </x:c>
    </x:row>
    <x:row r="58">
      <x:c r="A58" t="n">
        <x:f>58-5</x:f>
        <x:v>53</x:v>
      </x:c>
      <x:c r="B58" t="str">
        <x:f>'Riding comparison'!A76</x:f>
        <x:v>Surrey North</x:v>
      </x:c>
      <x:c r="C58" t="str">
        <x:f>'Riding comparison'!AD76</x:f>
        <x:v>Conservative</x:v>
      </x:c>
      <x:c r="D58" s="32" t="n">
        <x:f>'Riding comparison'!AF76</x:f>
        <x:v>3255</x:v>
      </x:c>
      <x:c r="E58" t="str">
        <x:f>'Riding comparison'!AC76</x:f>
        <x:v>Conservative</x:v>
      </x:c>
      <x:c r="F58" s="30" t="n">
        <x:f>'Riding comparison'!S76</x:f>
        <x:v>-10.395582151415821</x:v>
      </x:c>
      <x:c r="G58" s="28" t="n">
        <x:f>'Riding comparison'!AB76</x:f>
        <x:v>-0.16953785519038844</x:v>
      </x:c>
      <x:c r="H58" t="str">
        <x:f>'Riding comparison'!AH76</x:f>
        <x:v>—</x:v>
      </x:c>
    </x:row>
    <x:row r="59">
      <x:c r="A59" t="n">
        <x:f>59-5</x:f>
        <x:v>54</x:v>
      </x:c>
      <x:c r="B59" t="str">
        <x:f>'Riding comparison'!A88</x:f>
        <x:v>Vancouver-Renfrew</x:v>
      </x:c>
      <x:c r="C59" t="str">
        <x:f>'Riding comparison'!AD88</x:f>
        <x:v>NDP</x:v>
      </x:c>
      <x:c r="D59" s="32" t="n">
        <x:f>'Riding comparison'!AF88</x:f>
        <x:v>3299</x:v>
      </x:c>
      <x:c r="E59" t="str">
        <x:f>'Riding comparison'!AC88</x:f>
        <x:v>NDP</x:v>
      </x:c>
      <x:c r="F59" s="30" t="n">
        <x:f>'Riding comparison'!S88</x:f>
        <x:v>-8.571734923320873</x:v>
      </x:c>
      <x:c r="G59" s="28" t="n">
        <x:f>'Riding comparison'!AB88</x:f>
        <x:v>-0.18730268067275124</x:v>
      </x:c>
      <x:c r="H59" t="str">
        <x:f>'Riding comparison'!AH88</x:f>
        <x:v>—</x:v>
      </x:c>
    </x:row>
    <x:row r="60">
      <x:c r="A60" t="n">
        <x:f>60-5</x:f>
        <x:v>55</x:v>
      </x:c>
      <x:c r="B60" t="str">
        <x:f>'Riding comparison'!A72</x:f>
        <x:v>Surrey-Cloverdale</x:v>
      </x:c>
      <x:c r="C60" t="str">
        <x:f>'Riding comparison'!AD72</x:f>
        <x:v>Conservative</x:v>
      </x:c>
      <x:c r="D60" s="32" t="n">
        <x:f>'Riding comparison'!AF72</x:f>
        <x:v>3305</x:v>
      </x:c>
      <x:c r="E60" t="str">
        <x:f>'Riding comparison'!AC72</x:f>
        <x:v>Conservative</x:v>
      </x:c>
      <x:c r="F60" s="30" t="n">
        <x:f>'Riding comparison'!S72</x:f>
        <x:v>-12.03527931512745</x:v>
      </x:c>
      <x:c r="G60" s="28" t="n">
        <x:f>'Riding comparison'!AB72</x:f>
        <x:v>-0.17932201796041192</x:v>
      </x:c>
      <x:c r="H60" t="str">
        <x:f>'Riding comparison'!AH72</x:f>
        <x:v>—</x:v>
      </x:c>
    </x:row>
    <x:row r="61">
      <x:c r="A61" t="n">
        <x:f>61-5</x:f>
        <x:v>56</x:v>
      </x:c>
      <x:c r="B61" t="str">
        <x:f>'Riding comparison'!A32</x:f>
        <x:v>Kelowna-Lake Country-Coldstream</x:v>
      </x:c>
      <x:c r="C61" t="str">
        <x:f>'Riding comparison'!AD32</x:f>
        <x:v>Conservative</x:v>
      </x:c>
      <x:c r="D61" s="32" t="n">
        <x:f>'Riding comparison'!AF32</x:f>
        <x:v>3382</x:v>
      </x:c>
      <x:c r="E61" t="str">
        <x:f>'Riding comparison'!AC32</x:f>
        <x:v>Conservative</x:v>
      </x:c>
      <x:c r="F61" s="30" t="n">
        <x:f>'Riding comparison'!S32</x:f>
        <x:v>-2.6346394653555985</x:v>
      </x:c>
      <x:c r="G61" s="28" t="n">
        <x:f>'Riding comparison'!AB32</x:f>
        <x:v>-0.16080572289156625</x:v>
      </x:c>
      <x:c r="H61" t="str">
        <x:f>'Riding comparison'!AH32</x:f>
        <x:v>—</x:v>
      </x:c>
    </x:row>
    <x:row r="62">
      <x:c r="A62" t="n">
        <x:f>62-5</x:f>
        <x:v>57</x:v>
      </x:c>
      <x:c r="B62" t="str">
        <x:f>'Riding comparison'!A91</x:f>
        <x:v>Vancouver-West End</x:v>
      </x:c>
      <x:c r="C62" t="str">
        <x:f>'Riding comparison'!AD91</x:f>
        <x:v>NDP</x:v>
      </x:c>
      <x:c r="D62" s="32" t="n">
        <x:f>'Riding comparison'!AF91</x:f>
        <x:v>3546</x:v>
      </x:c>
      <x:c r="E62" t="str">
        <x:f>'Riding comparison'!AC91</x:f>
        <x:v>NDP</x:v>
      </x:c>
      <x:c r="F62" s="30" t="n">
        <x:f>'Riding comparison'!S91</x:f>
        <x:v>-11.390567688295583</x:v>
      </x:c>
      <x:c r="G62" s="28" t="n">
        <x:f>'Riding comparison'!AB91</x:f>
        <x:v>-0.19574997606968503</x:v>
      </x:c>
      <x:c r="H62" t="str">
        <x:f>'Riding comparison'!AH91</x:f>
        <x:v>—</x:v>
      </x:c>
    </x:row>
    <x:row r="63">
      <x:c r="A63" t="n">
        <x:f>63-5</x:f>
        <x:v>58</x:v>
      </x:c>
      <x:c r="B63" t="str">
        <x:f>'Riding comparison'!A26</x:f>
        <x:v>Esquimalt-Colwood</x:v>
      </x:c>
      <x:c r="C63" t="str">
        <x:f>'Riding comparison'!AD26</x:f>
        <x:v>NDP</x:v>
      </x:c>
      <x:c r="D63" s="32" t="n">
        <x:f>'Riding comparison'!AF26</x:f>
        <x:v>3564</x:v>
      </x:c>
      <x:c r="E63" t="str">
        <x:f>'Riding comparison'!AC26</x:f>
        <x:v>NDP</x:v>
      </x:c>
      <x:c r="F63" s="30" t="n">
        <x:f>'Riding comparison'!S26</x:f>
        <x:v>-8.216769916412003</x:v>
      </x:c>
      <x:c r="G63" s="28" t="n">
        <x:f>'Riding comparison'!AB26</x:f>
        <x:v>-0.1445197854468171</x:v>
      </x:c>
      <x:c r="H63" t="str">
        <x:f>'Riding comparison'!AH26</x:f>
        <x:v>—</x:v>
      </x:c>
    </x:row>
    <x:row r="64">
      <x:c r="A64" t="n">
        <x:f>64-5</x:f>
        <x:v>59</x:v>
      </x:c>
      <x:c r="B64" t="str">
        <x:f>'Riding comparison'!A42</x:f>
        <x:v>Maple Ridge East</x:v>
      </x:c>
      <x:c r="C64" t="str">
        <x:f>'Riding comparison'!AD42</x:f>
        <x:v>Conservative</x:v>
      </x:c>
      <x:c r="D64" s="32" t="n">
        <x:f>'Riding comparison'!AF42</x:f>
        <x:v>3663</x:v>
      </x:c>
      <x:c r="E64" t="str">
        <x:f>'Riding comparison'!AC42</x:f>
        <x:v>Conservative</x:v>
      </x:c>
      <x:c r="F64" s="30" t="n">
        <x:f>'Riding comparison'!S42</x:f>
        <x:v>-9.317885042071177</x:v>
      </x:c>
      <x:c r="G64" s="28" t="n">
        <x:f>'Riding comparison'!AB42</x:f>
        <x:v>-0.12271347396279286</x:v>
      </x:c>
      <x:c r="H64" t="str">
        <x:f>'Riding comparison'!AH42</x:f>
        <x:v>—</x:v>
      </x:c>
    </x:row>
    <x:row r="65">
      <x:c r="A65" t="n">
        <x:f>65-5</x:f>
        <x:v>60</x:v>
      </x:c>
      <x:c r="B65" t="str">
        <x:f>'Riding comparison'!A77</x:f>
        <x:v>Surrey-Panorama</x:v>
      </x:c>
      <x:c r="C65" t="str">
        <x:f>'Riding comparison'!AD77</x:f>
        <x:v>Conservative</x:v>
      </x:c>
      <x:c r="D65" s="32" t="n">
        <x:f>'Riding comparison'!AF77</x:f>
        <x:v>3700</x:v>
      </x:c>
      <x:c r="E65" t="str">
        <x:f>'Riding comparison'!AC77</x:f>
        <x:v>Conservative</x:v>
      </x:c>
      <x:c r="F65" s="30" t="n">
        <x:f>'Riding comparison'!S77</x:f>
        <x:v>-14.620309504099238</x:v>
      </x:c>
      <x:c r="G65" s="28" t="n">
        <x:f>'Riding comparison'!AB77</x:f>
        <x:v>-0.17034896895535911</x:v>
      </x:c>
      <x:c r="H65" t="str">
        <x:f>'Riding comparison'!AH77</x:f>
        <x:v>Green absent 2024</x:v>
      </x:c>
    </x:row>
    <x:row r="66">
      <x:c r="A66" t="n">
        <x:f>66-5</x:f>
        <x:v>61</x:v>
      </x:c>
      <x:c r="B66" t="str">
        <x:f>'Riding comparison'!A47</x:f>
        <x:v>Nechako Lakes</x:v>
      </x:c>
      <x:c r="C66" t="str">
        <x:f>'Riding comparison'!AD47</x:f>
        <x:v>Conservative</x:v>
      </x:c>
      <x:c r="D66" s="32" t="n">
        <x:f>'Riding comparison'!AF47</x:f>
        <x:v>3804</x:v>
      </x:c>
      <x:c r="E66" t="str">
        <x:f>'Riding comparison'!AC47</x:f>
        <x:v>Conservative</x:v>
      </x:c>
      <x:c r="F66" s="30" t="n">
        <x:f>'Riding comparison'!S47</x:f>
        <x:v>-4.146657400148099</x:v>
      </x:c>
      <x:c r="G66" s="28" t="n">
        <x:f>'Riding comparison'!AB47</x:f>
        <x:v>-0.19957136733819114</x:v>
      </x:c>
      <x:c r="H66" t="str">
        <x:f>'Riding comparison'!AH47</x:f>
        <x:v>Green absent 2026</x:v>
      </x:c>
    </x:row>
    <x:row r="67">
      <x:c r="A67" t="n">
        <x:f>67-5</x:f>
        <x:v>62</x:v>
      </x:c>
      <x:c r="B67" t="str">
        <x:f>'Riding comparison'!A66</x:f>
        <x:v>Richmond-Steveston</x:v>
      </x:c>
      <x:c r="C67" t="str">
        <x:f>'Riding comparison'!AD66</x:f>
        <x:v>Conservative</x:v>
      </x:c>
      <x:c r="D67" s="32" t="n">
        <x:f>'Riding comparison'!AF66</x:f>
        <x:v>3841</x:v>
      </x:c>
      <x:c r="E67" t="str">
        <x:f>'Riding comparison'!AC66</x:f>
        <x:v>NDP</x:v>
      </x:c>
      <x:c r="F67" s="30" t="n">
        <x:f>'Riding comparison'!S66</x:f>
        <x:v>-9.285784525442187</x:v>
      </x:c>
      <x:c r="G67" s="28" t="n">
        <x:f>'Riding comparison'!AB66</x:f>
        <x:v>-0.1420753345589807</x:v>
      </x:c>
      <x:c r="H67" t="str">
        <x:f>'Riding comparison'!AH66</x:f>
        <x:v>Green absent 2026</x:v>
      </x:c>
    </x:row>
    <x:row r="68">
      <x:c r="A68" t="n">
        <x:f>68-5</x:f>
        <x:v>63</x:v>
      </x:c>
      <x:c r="B68" t="str">
        <x:f>'Riding comparison'!A89</x:f>
        <x:v>Vancouver-South Granville</x:v>
      </x:c>
      <x:c r="C68" t="str">
        <x:f>'Riding comparison'!AD89</x:f>
        <x:v>NDP</x:v>
      </x:c>
      <x:c r="D68" s="32" t="n">
        <x:f>'Riding comparison'!AF89</x:f>
        <x:v>3938</x:v>
      </x:c>
      <x:c r="E68" t="str">
        <x:f>'Riding comparison'!AC89</x:f>
        <x:v>NDP</x:v>
      </x:c>
      <x:c r="F68" s="30" t="n">
        <x:f>'Riding comparison'!S89</x:f>
        <x:v>-16.879790089576392</x:v>
      </x:c>
      <x:c r="G68" s="28" t="n">
        <x:f>'Riding comparison'!AB89</x:f>
        <x:v>-0.17942788945660681</x:v>
      </x:c>
      <x:c r="H68" t="str">
        <x:f>'Riding comparison'!AH89</x:f>
        <x:v>—</x:v>
      </x:c>
    </x:row>
    <x:row r="69">
      <x:c r="A69" t="n">
        <x:f>69-5</x:f>
        <x:v>64</x:v>
      </x:c>
      <x:c r="B69" t="str">
        <x:f>'Riding comparison'!A65</x:f>
        <x:v>Richmond-Queensborough</x:v>
      </x:c>
      <x:c r="C69" t="str">
        <x:f>'Riding comparison'!AD65</x:f>
        <x:v>Conservative</x:v>
      </x:c>
      <x:c r="D69" s="32" t="n">
        <x:f>'Riding comparison'!AF65</x:f>
        <x:v>4189</x:v>
      </x:c>
      <x:c r="E69" t="str">
        <x:f>'Riding comparison'!AC65</x:f>
        <x:v>Conservative</x:v>
      </x:c>
      <x:c r="F69" s="30" t="n">
        <x:f>'Riding comparison'!S65</x:f>
        <x:v>-10.745510577512896</x:v>
      </x:c>
      <x:c r="G69" s="28" t="n">
        <x:f>'Riding comparison'!AB65</x:f>
        <x:v>-0.17266622911092033</x:v>
      </x:c>
      <x:c r="H69" t="str">
        <x:f>'Riding comparison'!AH65</x:f>
        <x:v>Green absent 2024</x:v>
      </x:c>
    </x:row>
    <x:row r="70">
      <x:c r="A70" t="n">
        <x:f>70-5</x:f>
        <x:v>65</x:v>
      </x:c>
      <x:c r="B70" t="str">
        <x:f>'Riding comparison'!A17</x:f>
        <x:v>Chilliwack-Cultus Lake</x:v>
      </x:c>
      <x:c r="C70" t="str">
        <x:f>'Riding comparison'!AD17</x:f>
        <x:v>Conservative</x:v>
      </x:c>
      <x:c r="D70" s="32" t="n">
        <x:f>'Riding comparison'!AF17</x:f>
        <x:v>4282</x:v>
      </x:c>
      <x:c r="E70" t="str">
        <x:f>'Riding comparison'!AC17</x:f>
        <x:v>Conservative</x:v>
      </x:c>
      <x:c r="F70" s="30" t="n">
        <x:f>'Riding comparison'!S17</x:f>
        <x:v>-5.550788752118923</x:v>
      </x:c>
      <x:c r="G70" s="28" t="n">
        <x:f>'Riding comparison'!AB17</x:f>
        <x:v>-0.15459071898028276</x:v>
      </x:c>
      <x:c r="H70" t="str">
        <x:f>'Riding comparison'!AH17</x:f>
        <x:v>—</x:v>
      </x:c>
    </x:row>
    <x:row r="71">
      <x:c r="A71" t="n">
        <x:f>71-5</x:f>
        <x:v>66</x:v>
      </x:c>
      <x:c r="B71" t="str">
        <x:f>'Riding comparison'!A6</x:f>
        <x:v>Abbotsford-Mission</x:v>
      </x:c>
      <x:c r="C71" t="str">
        <x:f>'Riding comparison'!AD6</x:f>
        <x:v>Conservative</x:v>
      </x:c>
      <x:c r="D71" s="32" t="n">
        <x:f>'Riding comparison'!AF6</x:f>
        <x:v>4362</x:v>
      </x:c>
      <x:c r="E71" t="str">
        <x:f>'Riding comparison'!AC6</x:f>
        <x:v>Conservative</x:v>
      </x:c>
      <x:c r="F71" s="30" t="n">
        <x:f>'Riding comparison'!S6</x:f>
        <x:v>-8.801701179103627</x:v>
      </x:c>
      <x:c r="G71" s="28" t="n">
        <x:f>'Riding comparison'!AB6</x:f>
        <x:v>-0.14550275341627572</x:v>
      </x:c>
      <x:c r="H71" t="str">
        <x:f>'Riding comparison'!AH6</x:f>
        <x:v>—</x:v>
      </x:c>
    </x:row>
    <x:row r="72">
      <x:c r="A72" t="n">
        <x:f>72-5</x:f>
        <x:v>67</x:v>
      </x:c>
      <x:c r="B72" t="str">
        <x:f>'Riding comparison'!A78</x:f>
        <x:v>Surrey-Serpentine River</x:v>
      </x:c>
      <x:c r="C72" t="str">
        <x:f>'Riding comparison'!AD78</x:f>
        <x:v>Conservative</x:v>
      </x:c>
      <x:c r="D72" s="32" t="n">
        <x:f>'Riding comparison'!AF78</x:f>
        <x:v>4435</x:v>
      </x:c>
      <x:c r="E72" t="str">
        <x:f>'Riding comparison'!AC78</x:f>
        <x:v>Conservative</x:v>
      </x:c>
      <x:c r="F72" s="30" t="n">
        <x:f>'Riding comparison'!S78</x:f>
        <x:v>-14.855374948580586</x:v>
      </x:c>
      <x:c r="G72" s="28" t="n">
        <x:f>'Riding comparison'!AB78</x:f>
        <x:v>-0.1157590508062063</x:v>
      </x:c>
      <x:c r="H72" t="str">
        <x:f>'Riding comparison'!AH78</x:f>
        <x:v>—</x:v>
      </x:c>
    </x:row>
    <x:row r="73">
      <x:c r="A73" t="n">
        <x:f>73-5</x:f>
        <x:v>68</x:v>
      </x:c>
      <x:c r="B73" t="str">
        <x:f>'Riding comparison'!A90</x:f>
        <x:v>Vancouver-Strathcona</x:v>
      </x:c>
      <x:c r="C73" t="str">
        <x:f>'Riding comparison'!AD90</x:f>
        <x:v>NDP</x:v>
      </x:c>
      <x:c r="D73" s="32" t="n">
        <x:f>'Riding comparison'!AF90</x:f>
        <x:v>4499</x:v>
      </x:c>
      <x:c r="E73" t="str">
        <x:f>'Riding comparison'!AC90</x:f>
        <x:v>NDP</x:v>
      </x:c>
      <x:c r="F73" s="30" t="n">
        <x:f>'Riding comparison'!S90</x:f>
        <x:v>-13.08242350379486</x:v>
      </x:c>
      <x:c r="G73" s="28" t="n">
        <x:f>'Riding comparison'!AB90</x:f>
        <x:v>-0.1397544853635505</x:v>
      </x:c>
      <x:c r="H73" t="str">
        <x:f>'Riding comparison'!AH90</x:f>
        <x:v>—</x:v>
      </x:c>
    </x:row>
    <x:row r="74">
      <x:c r="A74" t="n">
        <x:f>74-5</x:f>
        <x:v>69</x:v>
      </x:c>
      <x:c r="B74" t="str">
        <x:f>'Riding comparison'!A18</x:f>
        <x:v>Chilliwack North</x:v>
      </x:c>
      <x:c r="C74" t="str">
        <x:f>'Riding comparison'!AD18</x:f>
        <x:v>Conservative</x:v>
      </x:c>
      <x:c r="D74" s="32" t="n">
        <x:f>'Riding comparison'!AF18</x:f>
        <x:v>4687</x:v>
      </x:c>
      <x:c r="E74" t="str">
        <x:f>'Riding comparison'!AC18</x:f>
        <x:v>Conservative</x:v>
      </x:c>
      <x:c r="F74" s="30" t="n">
        <x:f>'Riding comparison'!S18</x:f>
        <x:v>-4.696218048807166</x:v>
      </x:c>
      <x:c r="G74" s="28" t="n">
        <x:f>'Riding comparison'!AB18</x:f>
        <x:v>-0.18138049164390535</x:v>
      </x:c>
      <x:c r="H74" t="str">
        <x:f>'Riding comparison'!AH18</x:f>
        <x:v>Green absent 2026</x:v>
      </x:c>
    </x:row>
    <x:row r="75">
      <x:c r="A75" t="n">
        <x:f>75-5</x:f>
        <x:v>70</x:v>
      </x:c>
      <x:c r="B75" t="str">
        <x:f>'Riding comparison'!A36</x:f>
        <x:v>Kootenay-Rockies</x:v>
      </x:c>
      <x:c r="C75" t="str">
        <x:f>'Riding comparison'!AD36</x:f>
        <x:v>Conservative</x:v>
      </x:c>
      <x:c r="D75" s="32" t="n">
        <x:f>'Riding comparison'!AF36</x:f>
        <x:v>4726</x:v>
      </x:c>
      <x:c r="E75" t="str">
        <x:f>'Riding comparison'!AC36</x:f>
        <x:v>Conservative</x:v>
      </x:c>
      <x:c r="F75" s="30" t="n">
        <x:f>'Riding comparison'!S36</x:f>
        <x:v>5.419831379535841</x:v>
      </x:c>
      <x:c r="G75" s="28" t="n">
        <x:f>'Riding comparison'!AB36</x:f>
        <x:v>-0.15694112760876333</x:v>
      </x:c>
      <x:c r="H75" t="str">
        <x:f>'Riding comparison'!AH36</x:f>
        <x:v>—</x:v>
      </x:c>
    </x:row>
    <x:row r="76">
      <x:c r="A76" t="n">
        <x:f>76-5</x:f>
        <x:v>71</x:v>
      </x:c>
      <x:c r="B76" t="str">
        <x:f>'Riding comparison'!A55</x:f>
        <x:v>Peace River South</x:v>
      </x:c>
      <x:c r="C76" t="str">
        <x:f>'Riding comparison'!AD55</x:f>
        <x:v>Conservative</x:v>
      </x:c>
      <x:c r="D76" s="32" t="n">
        <x:f>'Riding comparison'!AF55</x:f>
        <x:v>4869</x:v>
      </x:c>
      <x:c r="E76" t="str">
        <x:f>'Riding comparison'!AC55</x:f>
        <x:v>Conservative</x:v>
      </x:c>
      <x:c r="F76" s="30" t="n">
        <x:f>'Riding comparison'!S55</x:f>
        <x:v>9.77033803591311</x:v>
      </x:c>
      <x:c r="G76" s="28" t="n">
        <x:f>'Riding comparison'!AB55</x:f>
        <x:v>-0.23859001747912212</x:v>
      </x:c>
      <x:c r="H76" t="str">
        <x:f>'Riding comparison'!AH55</x:f>
        <x:v>—</x:v>
      </x:c>
    </x:row>
    <x:row r="77">
      <x:c r="A77" t="n">
        <x:f>77-5</x:f>
        <x:v>72</x:v>
      </x:c>
      <x:c r="B77" t="str">
        <x:f>'Riding comparison'!A82</x:f>
        <x:v>Vancouver-Hastings</x:v>
      </x:c>
      <x:c r="C77" t="str">
        <x:f>'Riding comparison'!AD82</x:f>
        <x:v>NDP</x:v>
      </x:c>
      <x:c r="D77" s="32" t="n">
        <x:f>'Riding comparison'!AF82</x:f>
        <x:v>4912</x:v>
      </x:c>
      <x:c r="E77" t="str">
        <x:f>'Riding comparison'!AC82</x:f>
        <x:v>NDP</x:v>
      </x:c>
      <x:c r="F77" s="30" t="n">
        <x:f>'Riding comparison'!S82</x:f>
        <x:v>-12.86686484989299</x:v>
      </x:c>
      <x:c r="G77" s="28" t="n">
        <x:f>'Riding comparison'!AB82</x:f>
        <x:v>-0.14712757349635885</x:v>
      </x:c>
      <x:c r="H77" t="str">
        <x:f>'Riding comparison'!AH82</x:f>
        <x:v>—</x:v>
      </x:c>
    </x:row>
    <x:row r="78">
      <x:c r="A78" t="n">
        <x:f>78-5</x:f>
        <x:v>73</x:v>
      </x:c>
      <x:c r="B78" t="str">
        <x:f>'Riding comparison'!A67</x:f>
        <x:v>Saanich North and the Islands</x:v>
      </x:c>
      <x:c r="C78" t="str">
        <x:f>'Riding comparison'!AD67</x:f>
        <x:v>Green</x:v>
      </x:c>
      <x:c r="D78" s="32" t="n">
        <x:f>'Riding comparison'!AF67</x:f>
        <x:v>5017</x:v>
      </x:c>
      <x:c r="E78" t="str">
        <x:f>'Riding comparison'!AC67</x:f>
        <x:v>Green</x:v>
      </x:c>
      <x:c r="F78" s="30" t="n">
        <x:f>'Riding comparison'!S67</x:f>
        <x:v>-14.692227504204384</x:v>
      </x:c>
      <x:c r="G78" s="28" t="n">
        <x:f>'Riding comparison'!AB67</x:f>
        <x:v>-0.12300877167248514</x:v>
      </x:c>
      <x:c r="H78" t="str">
        <x:f>'Riding comparison'!AH67</x:f>
        <x:v>—</x:v>
      </x:c>
    </x:row>
    <x:row r="79">
      <x:c r="A79" t="n">
        <x:f>79-5</x:f>
        <x:v>74</x:v>
      </x:c>
      <x:c r="B79" t="str">
        <x:f>'Riding comparison'!A27</x:f>
        <x:v>Fraser-Nicola</x:v>
      </x:c>
      <x:c r="C79" t="str">
        <x:f>'Riding comparison'!AD27</x:f>
        <x:v>Conservative</x:v>
      </x:c>
      <x:c r="D79" s="32" t="n">
        <x:f>'Riding comparison'!AF27</x:f>
        <x:v>5018</x:v>
      </x:c>
      <x:c r="E79" t="str">
        <x:f>'Riding comparison'!AC27</x:f>
        <x:v>Conservative</x:v>
      </x:c>
      <x:c r="F79" s="30" t="n">
        <x:f>'Riding comparison'!S27</x:f>
        <x:v>-7.983609129977126</x:v>
      </x:c>
      <x:c r="G79" s="28" t="n">
        <x:f>'Riding comparison'!AB27</x:f>
        <x:v>-0.1209079922232148</x:v>
      </x:c>
      <x:c r="H79" t="str">
        <x:f>'Riding comparison'!AH27</x:f>
        <x:v>—</x:v>
      </x:c>
    </x:row>
    <x:row r="80">
      <x:c r="A80" t="n">
        <x:f>80-5</x:f>
        <x:v>75</x:v>
      </x:c>
      <x:c r="B80" t="str">
        <x:f>'Riding comparison'!A29</x:f>
        <x:v>Kamloops Centre</x:v>
      </x:c>
      <x:c r="C80" t="str">
        <x:f>'Riding comparison'!AD29</x:f>
        <x:v>Conservative</x:v>
      </x:c>
      <x:c r="D80" s="32" t="n">
        <x:f>'Riding comparison'!AF29</x:f>
        <x:v>5019</x:v>
      </x:c>
      <x:c r="E80" t="str">
        <x:f>'Riding comparison'!AC29</x:f>
        <x:v>Conservative</x:v>
      </x:c>
      <x:c r="F80" s="30" t="n">
        <x:f>'Riding comparison'!S29</x:f>
        <x:v>-10.323984789329543</x:v>
      </x:c>
      <x:c r="G80" s="28" t="n">
        <x:f>'Riding comparison'!AB29</x:f>
        <x:v>-0.1296208717584929</x:v>
      </x:c>
      <x:c r="H80" t="str">
        <x:f>'Riding comparison'!AH29</x:f>
        <x:v>—</x:v>
      </x:c>
    </x:row>
    <x:row r="81">
      <x:c r="A81" t="n">
        <x:f>81-5</x:f>
        <x:v>76</x:v>
      </x:c>
      <x:c r="B81" t="str">
        <x:f>'Riding comparison'!A63</x:f>
        <x:v>Richmond-Bridgeport</x:v>
      </x:c>
      <x:c r="C81" t="str">
        <x:f>'Riding comparison'!AD63</x:f>
        <x:v>Conservative</x:v>
      </x:c>
      <x:c r="D81" s="32" t="n">
        <x:f>'Riding comparison'!AF63</x:f>
        <x:v>5030</x:v>
      </x:c>
      <x:c r="E81" t="str">
        <x:f>'Riding comparison'!AC63</x:f>
        <x:v>Conservative</x:v>
      </x:c>
      <x:c r="F81" s="30" t="n">
        <x:f>'Riding comparison'!S63</x:f>
        <x:v>-3.0650912721506494</x:v>
      </x:c>
      <x:c r="G81" s="28" t="n">
        <x:f>'Riding comparison'!AB63</x:f>
        <x:v>-0.18962590012294367</x:v>
      </x:c>
      <x:c r="H81" t="str">
        <x:f>'Riding comparison'!AH63</x:f>
        <x:v>Green absent 2026</x:v>
      </x:c>
    </x:row>
    <x:row r="82">
      <x:c r="A82" t="n">
        <x:f>82-5</x:f>
        <x:v>77</x:v>
      </x:c>
      <x:c r="B82" t="str">
        <x:f>'Riding comparison'!A8</x:f>
        <x:v>Abbotsford West</x:v>
      </x:c>
      <x:c r="C82" t="str">
        <x:f>'Riding comparison'!AD8</x:f>
        <x:v>Conservative</x:v>
      </x:c>
      <x:c r="D82" s="32" t="n">
        <x:f>'Riding comparison'!AF8</x:f>
        <x:v>5179</x:v>
      </x:c>
      <x:c r="E82" t="str">
        <x:f>'Riding comparison'!AC8</x:f>
        <x:v>Conservative</x:v>
      </x:c>
      <x:c r="F82" s="30" t="n">
        <x:f>'Riding comparison'!S8</x:f>
        <x:v>-8.01518273653279</x:v>
      </x:c>
      <x:c r="G82" s="28" t="n">
        <x:f>'Riding comparison'!AB8</x:f>
        <x:v>-0.20380228136882128</x:v>
      </x:c>
      <x:c r="H82" t="str">
        <x:f>'Riding comparison'!AH8</x:f>
        <x:v>—</x:v>
      </x:c>
    </x:row>
    <x:row r="83">
      <x:c r="A83" t="n">
        <x:f>83-5</x:f>
        <x:v>78</x:v>
      </x:c>
      <x:c r="B83" t="str">
        <x:f>'Riding comparison'!A40</x:f>
        <x:v>Langley-Walnut Grove</x:v>
      </x:c>
      <x:c r="C83" t="str">
        <x:f>'Riding comparison'!AD40</x:f>
        <x:v>Conservative</x:v>
      </x:c>
      <x:c r="D83" s="32" t="n">
        <x:f>'Riding comparison'!AF40</x:f>
        <x:v>5464</x:v>
      </x:c>
      <x:c r="E83" t="str">
        <x:f>'Riding comparison'!AC40</x:f>
        <x:v>Conservative</x:v>
      </x:c>
      <x:c r="F83" s="30" t="n">
        <x:f>'Riding comparison'!S40</x:f>
        <x:v>-13.159890356445747</x:v>
      </x:c>
      <x:c r="G83" s="28" t="n">
        <x:f>'Riding comparison'!AB40</x:f>
        <x:v>-0.11464161731672451</x:v>
      </x:c>
      <x:c r="H83" t="str">
        <x:f>'Riding comparison'!AH40</x:f>
        <x:v>—</x:v>
      </x:c>
    </x:row>
    <x:row r="84">
      <x:c r="A84" t="n">
        <x:f>84-5</x:f>
        <x:v>79</x:v>
      </x:c>
      <x:c r="B84" t="str">
        <x:f>'Riding comparison'!A87</x:f>
        <x:v>Vancouver-Quilchena</x:v>
      </x:c>
      <x:c r="C84" t="str">
        <x:f>'Riding comparison'!AD87</x:f>
        <x:v>Conservative</x:v>
      </x:c>
      <x:c r="D84" s="32" t="n">
        <x:f>'Riding comparison'!AF87</x:f>
        <x:v>5687</x:v>
      </x:c>
      <x:c r="E84" t="str">
        <x:f>'Riding comparison'!AC87</x:f>
        <x:v>Conservative</x:v>
      </x:c>
      <x:c r="F84" s="30" t="n">
        <x:f>'Riding comparison'!S87</x:f>
        <x:v>-12.450703597922914</x:v>
      </x:c>
      <x:c r="G84" s="28" t="n">
        <x:f>'Riding comparison'!AB87</x:f>
        <x:v>-0.1042275034817377</x:v>
      </x:c>
      <x:c r="H84" t="str">
        <x:f>'Riding comparison'!AH87</x:f>
        <x:v>—</x:v>
      </x:c>
    </x:row>
    <x:row r="85">
      <x:c r="A85" t="n">
        <x:f>85-5</x:f>
        <x:v>80</x:v>
      </x:c>
      <x:c r="B85" t="str">
        <x:f>'Riding comparison'!A7</x:f>
        <x:v>Abbotsford South</x:v>
      </x:c>
      <x:c r="C85" t="str">
        <x:f>'Riding comparison'!AD7</x:f>
        <x:v>Conservative</x:v>
      </x:c>
      <x:c r="D85" s="32" t="n">
        <x:f>'Riding comparison'!AF7</x:f>
        <x:v>5822</x:v>
      </x:c>
      <x:c r="E85" t="str">
        <x:f>'Riding comparison'!AC7</x:f>
        <x:v>Conservative</x:v>
      </x:c>
      <x:c r="F85" s="30" t="n">
        <x:f>'Riding comparison'!S7</x:f>
        <x:v>-5.236137353896603</x:v>
      </x:c>
      <x:c r="G85" s="28" t="n">
        <x:f>'Riding comparison'!AB7</x:f>
        <x:v>-0.17978533094812166</x:v>
      </x:c>
      <x:c r="H85" t="str">
        <x:f>'Riding comparison'!AH7</x:f>
        <x:v>—</x:v>
      </x:c>
    </x:row>
    <x:row r="86">
      <x:c r="A86" t="n">
        <x:f>86-5</x:f>
        <x:v>81</x:v>
      </x:c>
      <x:c r="B86" t="str">
        <x:f>'Riding comparison'!A60</x:f>
        <x:v>Prince George-Mackenzie</x:v>
      </x:c>
      <x:c r="C86" t="str">
        <x:f>'Riding comparison'!AD60</x:f>
        <x:v>Conservative</x:v>
      </x:c>
      <x:c r="D86" s="32" t="n">
        <x:f>'Riding comparison'!AF60</x:f>
        <x:v>6394</x:v>
      </x:c>
      <x:c r="E86" t="str">
        <x:f>'Riding comparison'!AC60</x:f>
        <x:v>Conservative</x:v>
      </x:c>
      <x:c r="F86" s="30" t="n">
        <x:f>'Riding comparison'!S60</x:f>
        <x:v>-4.6575578550457655</x:v>
      </x:c>
      <x:c r="G86" s="28" t="n">
        <x:f>'Riding comparison'!AB60</x:f>
        <x:v>-0.19227458575425005</x:v>
      </x:c>
      <x:c r="H86" t="str">
        <x:f>'Riding comparison'!AH60</x:f>
        <x:v>—</x:v>
      </x:c>
    </x:row>
    <x:row r="87">
      <x:c r="A87" t="n">
        <x:f>87-5</x:f>
        <x:v>82</x:v>
      </x:c>
      <x:c r="B87" t="str">
        <x:f>'Riding comparison'!A33</x:f>
        <x:v>Kelowna-Mission</x:v>
      </x:c>
      <x:c r="C87" t="str">
        <x:f>'Riding comparison'!AD33</x:f>
        <x:v>Conservative</x:v>
      </x:c>
      <x:c r="D87" s="32" t="n">
        <x:f>'Riding comparison'!AF33</x:f>
        <x:v>7163</x:v>
      </x:c>
      <x:c r="E87" t="str">
        <x:f>'Riding comparison'!AC33</x:f>
        <x:v>Conservative</x:v>
      </x:c>
      <x:c r="F87" s="30" t="n">
        <x:f>'Riding comparison'!S33</x:f>
        <x:v>-4.824879655752939</x:v>
      </x:c>
      <x:c r="G87" s="28" t="n">
        <x:f>'Riding comparison'!AB33</x:f>
        <x:v>-0.15391641093087827</x:v>
      </x:c>
      <x:c r="H87" t="str">
        <x:f>'Riding comparison'!AH33</x:f>
        <x:v>—</x:v>
      </x:c>
    </x:row>
    <x:row r="88">
      <x:c r="A88" t="n">
        <x:f>88-5</x:f>
        <x:v>83</x:v>
      </x:c>
      <x:c r="B88" t="str">
        <x:f>'Riding comparison'!A80</x:f>
        <x:v>Surrey-White Rock</x:v>
      </x:c>
      <x:c r="C88" t="str">
        <x:f>'Riding comparison'!AD80</x:f>
        <x:v>Conservative</x:v>
      </x:c>
      <x:c r="D88" s="32" t="n">
        <x:f>'Riding comparison'!AF80</x:f>
        <x:v>7233</x:v>
      </x:c>
      <x:c r="E88" t="str">
        <x:f>'Riding comparison'!AC80</x:f>
        <x:v>Conservative</x:v>
      </x:c>
      <x:c r="F88" s="30" t="n">
        <x:f>'Riding comparison'!S80</x:f>
        <x:v>-16.370892782801615</x:v>
      </x:c>
      <x:c r="G88" s="28" t="n">
        <x:f>'Riding comparison'!AB80</x:f>
        <x:v>-0.11996304455973283</x:v>
      </x:c>
      <x:c r="H88" t="str">
        <x:f>'Riding comparison'!AH80</x:f>
        <x:v>Green absent 2024</x:v>
      </x:c>
    </x:row>
    <x:row r="89">
      <x:c r="A89" t="n">
        <x:f>89-5</x:f>
        <x:v>84</x:v>
      </x:c>
      <x:c r="B89" t="str">
        <x:f>'Riding comparison'!A54</x:f>
        <x:v>Peace River North</x:v>
      </x:c>
      <x:c r="C89" t="str">
        <x:f>'Riding comparison'!AD54</x:f>
        <x:v>Conservative</x:v>
      </x:c>
      <x:c r="D89" s="32" t="n">
        <x:f>'Riding comparison'!AF54</x:f>
        <x:v>7468</x:v>
      </x:c>
      <x:c r="E89" t="str">
        <x:f>'Riding comparison'!AC54</x:f>
        <x:v>Conservative</x:v>
      </x:c>
      <x:c r="F89" s="30" t="n">
        <x:f>'Riding comparison'!S54</x:f>
        <x:v>-5.491080310365408</x:v>
      </x:c>
      <x:c r="G89" s="28" t="n">
        <x:f>'Riding comparison'!AB54</x:f>
        <x:v>-0.2880042392528317</x:v>
      </x:c>
      <x:c r="H89" t="str">
        <x:f>'Riding comparison'!AH54</x:f>
        <x:v>No NDP candidate in 2026</x:v>
      </x:c>
    </x:row>
    <x:row r="90">
      <x:c r="A90" t="n">
        <x:f>90-5</x:f>
        <x:v>85</x:v>
      </x:c>
      <x:c r="B90" t="str">
        <x:f>'Riding comparison'!A69</x:f>
        <x:v>Salmon Arm-Shuswap</x:v>
      </x:c>
      <x:c r="C90" t="str">
        <x:f>'Riding comparison'!AD69</x:f>
        <x:v>Conservative</x:v>
      </x:c>
      <x:c r="D90" s="32" t="n">
        <x:f>'Riding comparison'!AF69</x:f>
        <x:v>7515</x:v>
      </x:c>
      <x:c r="E90" t="str">
        <x:f>'Riding comparison'!AC69</x:f>
        <x:v>Conservative</x:v>
      </x:c>
      <x:c r="F90" s="30" t="n">
        <x:f>'Riding comparison'!S69</x:f>
        <x:v>-2.3150817061853624</x:v>
      </x:c>
      <x:c r="G90" s="28" t="n">
        <x:f>'Riding comparison'!AB69</x:f>
        <x:v>-0.11524560797008077</x:v>
      </x:c>
      <x:c r="H90" t="str">
        <x:f>'Riding comparison'!AH69</x:f>
        <x:v>—</x:v>
      </x:c>
    </x:row>
    <x:row r="91">
      <x:c r="A91" t="n">
        <x:f>91-5</x:f>
        <x:v>86</x:v>
      </x:c>
      <x:c r="B91" t="str">
        <x:f>'Riding comparison'!A25</x:f>
        <x:v>Delta South</x:v>
      </x:c>
      <x:c r="C91" t="str">
        <x:f>'Riding comparison'!AD25</x:f>
        <x:v>Conservative</x:v>
      </x:c>
      <x:c r="D91" s="32" t="n">
        <x:f>'Riding comparison'!AF25</x:f>
        <x:v>7555</x:v>
      </x:c>
      <x:c r="E91" t="str">
        <x:f>'Riding comparison'!AC25</x:f>
        <x:v>Conservative</x:v>
      </x:c>
      <x:c r="F91" s="30" t="n">
        <x:f>'Riding comparison'!S25</x:f>
        <x:v>-16.31557392101513</x:v>
      </x:c>
      <x:c r="G91" s="28" t="n">
        <x:f>'Riding comparison'!AB25</x:f>
        <x:v>-0.08347845839327628</x:v>
      </x:c>
      <x:c r="H91" t="str">
        <x:f>'Riding comparison'!AH25</x:f>
        <x:v>Green absent 2024</x:v>
      </x:c>
    </x:row>
    <x:row r="92">
      <x:c r="A92" t="n">
        <x:f>92-5</x:f>
        <x:v>87</x:v>
      </x:c>
      <x:c r="B92" t="str">
        <x:f>'Riding comparison'!A96</x:f>
        <x:v>West Kelowna-Peachland</x:v>
      </x:c>
      <x:c r="C92" t="str">
        <x:f>'Riding comparison'!AD96</x:f>
        <x:v>Conservative</x:v>
      </x:c>
      <x:c r="D92" s="32" t="n">
        <x:f>'Riding comparison'!AF96</x:f>
        <x:v>7583</x:v>
      </x:c>
      <x:c r="E92" t="str">
        <x:f>'Riding comparison'!AC96</x:f>
        <x:v>Conservative</x:v>
      </x:c>
      <x:c r="F92" s="30" t="n">
        <x:f>'Riding comparison'!S96</x:f>
        <x:v>1.7720322467682847</x:v>
      </x:c>
      <x:c r="G92" s="28" t="n">
        <x:f>'Riding comparison'!AB96</x:f>
        <x:v>-0.12380808804130705</x:v>
      </x:c>
      <x:c r="H92" t="str">
        <x:f>'Riding comparison'!AH96</x:f>
        <x:v>Green absent 2024</x:v>
      </x:c>
    </x:row>
    <x:row r="93">
      <x:c r="A93" t="n">
        <x:f>93-5</x:f>
        <x:v>88</x:v>
      </x:c>
      <x:c r="B93" t="str">
        <x:f>'Riding comparison'!A79</x:f>
        <x:v>Surrey South</x:v>
      </x:c>
      <x:c r="C93" t="str">
        <x:f>'Riding comparison'!AD79</x:f>
        <x:v>Conservative</x:v>
      </x:c>
      <x:c r="D93" s="32" t="n">
        <x:f>'Riding comparison'!AF79</x:f>
        <x:v>8022</x:v>
      </x:c>
      <x:c r="E93" t="str">
        <x:f>'Riding comparison'!AC79</x:f>
        <x:v>Conservative</x:v>
      </x:c>
      <x:c r="F93" s="30" t="n">
        <x:f>'Riding comparison'!S79</x:f>
        <x:v>-18.995202076006567</x:v>
      </x:c>
      <x:c r="G93" s="28" t="n">
        <x:f>'Riding comparison'!AB79</x:f>
        <x:v>-0.08269463493344087</x:v>
      </x:c>
      <x:c r="H93" t="str">
        <x:f>'Riding comparison'!AH79</x:f>
        <x:v>Green absent 2024</x:v>
      </x:c>
    </x:row>
    <x:row r="94">
      <x:c r="A94" t="n">
        <x:f>94-5</x:f>
        <x:v>89</x:v>
      </x:c>
      <x:c r="B94" t="str">
        <x:f>'Riding comparison'!A39</x:f>
        <x:v>Langley-Abbotsford</x:v>
      </x:c>
      <x:c r="C94" t="str">
        <x:f>'Riding comparison'!AD39</x:f>
        <x:v>Conservative</x:v>
      </x:c>
      <x:c r="D94" s="32" t="n">
        <x:f>'Riding comparison'!AF39</x:f>
        <x:v>8275</x:v>
      </x:c>
      <x:c r="E94" t="str">
        <x:f>'Riding comparison'!AC39</x:f>
        <x:v>Conservative</x:v>
      </x:c>
      <x:c r="F94" s="30" t="n">
        <x:f>'Riding comparison'!S39</x:f>
        <x:v>-10.039612729746143</x:v>
      </x:c>
      <x:c r="G94" s="28" t="n">
        <x:f>'Riding comparison'!AB39</x:f>
        <x:v>-0.14820405635547296</x:v>
      </x:c>
      <x:c r="H94" t="str">
        <x:f>'Riding comparison'!AH39</x:f>
        <x:v>—</x:v>
      </x:c>
    </x:row>
    <x:row r="95">
      <x:c r="A95" t="n">
        <x:f>95-5</x:f>
        <x:v>90</x:v>
      </x:c>
      <x:c r="B95" t="str">
        <x:f>'Riding comparison'!A61</x:f>
        <x:v>Prince George-North Cariboo</x:v>
      </x:c>
      <x:c r="C95" t="str">
        <x:f>'Riding comparison'!AD61</x:f>
        <x:v>Conservative</x:v>
      </x:c>
      <x:c r="D95" s="32" t="n">
        <x:f>'Riding comparison'!AF61</x:f>
        <x:v>8419</x:v>
      </x:c>
      <x:c r="E95" t="str">
        <x:f>'Riding comparison'!AC61</x:f>
        <x:v>Conservative</x:v>
      </x:c>
      <x:c r="F95" s="30" t="n">
        <x:f>'Riding comparison'!S61</x:f>
        <x:v>3.1406597998023504</x:v>
      </x:c>
      <x:c r="G95" s="28" t="n">
        <x:f>'Riding comparison'!AB61</x:f>
        <x:v>-0.16598788119598684</x:v>
      </x:c>
      <x:c r="H95" t="str">
        <x:f>'Riding comparison'!AH61</x:f>
        <x:v>—</x:v>
      </x:c>
    </x:row>
    <x:row r="96">
      <x:c r="A96" t="n">
        <x:f>96-5</x:f>
        <x:v>91</x:v>
      </x:c>
      <x:c r="B96" t="str">
        <x:f>'Riding comparison'!A30</x:f>
        <x:v>Kamloops-North Thompson</x:v>
      </x:c>
      <x:c r="C96" t="str">
        <x:f>'Riding comparison'!AD30</x:f>
        <x:v>Conservative</x:v>
      </x:c>
      <x:c r="D96" s="32" t="n">
        <x:f>'Riding comparison'!AF30</x:f>
        <x:v>9615</x:v>
      </x:c>
      <x:c r="E96" t="str">
        <x:f>'Riding comparison'!AC30</x:f>
        <x:v>Conservative</x:v>
      </x:c>
      <x:c r="F96" s="30" t="n">
        <x:f>'Riding comparison'!S30</x:f>
        <x:v>-4.176274547655795</x:v>
      </x:c>
      <x:c r="G96" s="28" t="n">
        <x:f>'Riding comparison'!AB30</x:f>
        <x:v>-0.11515433741351788</x:v>
      </x:c>
      <x:c r="H96" t="str">
        <x:f>'Riding comparison'!AH30</x:f>
        <x:v>Green absent 2026</x:v>
      </x:c>
    </x:row>
    <x:row r="97">
      <x:c r="A97" t="n">
        <x:f>97-5</x:f>
        <x:v>92</x:v>
      </x:c>
      <x:c r="B97" t="str">
        <x:f>'Riding comparison'!A97</x:f>
        <x:v>West Vancouver-Capilano</x:v>
      </x:c>
      <x:c r="C97" t="str">
        <x:f>'Riding comparison'!AD97</x:f>
        <x:v>Conservative</x:v>
      </x:c>
      <x:c r="D97" s="32" t="n">
        <x:f>'Riding comparison'!AF97</x:f>
        <x:v>10135</x:v>
      </x:c>
      <x:c r="E97" t="str">
        <x:f>'Riding comparison'!AC97</x:f>
        <x:v>Conservative</x:v>
      </x:c>
      <x:c r="F97" s="30" t="n">
        <x:f>'Riding comparison'!S97</x:f>
        <x:v>-6.591265980752528</x:v>
      </x:c>
      <x:c r="G97" s="28" t="n">
        <x:f>'Riding comparison'!AB97</x:f>
        <x:v>-0.15295073091499733</x:v>
      </x:c>
      <x:c r="H97" t="str">
        <x:f>'Riding comparison'!AH97</x:f>
        <x:v>—</x:v>
      </x:c>
    </x:row>
    <x:row r="98">
      <x:c r="A98" t="n">
        <x:f>98-5</x:f>
        <x:v>93</x:v>
      </x:c>
      <x:c r="B98" t="str">
        <x:f>'Riding comparison'!A16</x:f>
        <x:v>Cariboo-Chilcotin</x:v>
      </x:c>
      <x:c r="C98" t="str">
        <x:f>'Riding comparison'!AD16</x:f>
        <x:v>Conservative</x:v>
      </x:c>
      <x:c r="D98" s="32" t="n">
        <x:f>'Riding comparison'!AF16</x:f>
        <x:v>11095</x:v>
      </x:c>
      <x:c r="E98" t="str">
        <x:f>'Riding comparison'!AC16</x:f>
        <x:v>Conservative</x:v>
      </x:c>
      <x:c r="F98" s="30" t="n">
        <x:f>'Riding comparison'!S16</x:f>
        <x:v>-13.474646925946745</x:v>
      </x:c>
      <x:c r="G98" s="28" t="n">
        <x:f>'Riding comparison'!AB16</x:f>
        <x:v>-0.06616829982826544</x:v>
      </x:c>
      <x:c r="H98" t="str">
        <x:f>'Riding comparison'!AH16</x:f>
        <x:v>Green absent 2024</x:v>
      </x:c>
    </x:row>
  </x:sheetData>
  <x:mergeCells>
    <x:mergeCell ref="A1:H2"/>
    <x:mergeCell ref="A3:H3"/>
  </x:mergeCells>
  <x:conditionalFormatting sqref="D6:D98">
    <x:cfRule type="colorScale" priority="1">
      <x:colorScale>
        <x:cfvo type="min"/>
        <x:cfvo type="percentile" val="50"/>
        <x:cfvo type="max"/>
        <x:color rgb="FFFAD9C6"/>
        <x:color rgb="FFFFFFFF"/>
        <x:color rgb="FFD9EFE8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4" hidden="0" customWidth="1"/>
  </x:cols>
  <x:sheetData>
    <x:row r="1" ht="23" customHeight="1">
      <x:c r="A1" s="8" t="str">
        <x:v>Methodology, definitions &amp; provenance</x:v>
      </x:c>
      <x:c r="B1" s="9"/>
      <x:c r="C1" s="9"/>
      <x:c r="D1" s="9"/>
      <x:c r="E1" s="9"/>
      <x:c r="F1" s="9"/>
      <x:c r="G1" s="9"/>
      <x:c r="H1" s="9"/>
    </x:row>
    <x:row r="2" ht="23" customHeight="1">
      <x:c r="A2" s="9"/>
      <x:c r="B2" s="9"/>
      <x:c r="C2" s="9"/>
      <x:c r="D2" s="9"/>
      <x:c r="E2" s="9"/>
      <x:c r="F2" s="9"/>
      <x:c r="G2" s="9"/>
      <x:c r="H2" s="9"/>
    </x:row>
    <x:row r="3" ht="26" customHeight="1">
      <x:c r="A3" s="18" t="str">
        <x:v>Public edition | Initial-count data: 26 Oct 2026 | Latest source check: 27 Oct 2026 | Still preliminary</x:v>
      </x:c>
      <x:c r="B3" s="18"/>
      <x:c r="C3" s="18"/>
      <x:c r="D3" s="18"/>
      <x:c r="E3" s="18"/>
      <x:c r="F3" s="18"/>
      <x:c r="G3" s="18"/>
      <x:c r="H3" s="18"/>
    </x:row>
    <x:row r="5" ht="34" customHeight="1">
      <x:c r="A5" s="24" t="str">
        <x:v>Method / Field</x:v>
      </x:c>
      <x:c r="B5" s="24" t="str">
        <x:v>Meaning or URL</x:v>
      </x:c>
    </x:row>
    <x:row r="6" ht="33" customHeight="1">
      <x:c r="A6" t="str">
        <x:v>SOURCE: 2026 preliminary</x:v>
      </x:c>
      <x:c r="B6" s="40" t="str">
        <x:v>https://results.elections.bc.ca/</x:v>
      </x:c>
    </x:row>
    <x:row r="7" ht="33" customHeight="1">
      <x:c r="A7" t="str">
        <x:v>SOURCE: 2024 certified</x:v>
      </x:c>
      <x:c r="B7" s="40" t="str">
        <x:v>https://elections.bc.ca/docs/rpt/statement-of-votes-2024-provincial-election.pdf</x:v>
      </x:c>
    </x:row>
    <x:row r="8" ht="33" customHeight="1">
      <x:c r="A8" t="str">
        <x:v>As-of time (2026)</x:v>
      </x:c>
      <x:c r="B8" s="40" t="str">
        <x:v>26 October 2026 10:34 PST (Elections BC page timestamp)</x:v>
      </x:c>
    </x:row>
    <x:row r="9" ht="33" customHeight="1">
      <x:c r="A9" t="str">
        <x:v>2026 count status</x:v>
      </x:c>
      <x:c r="B9" s="40" t="str">
        <x:v>Initial count complete; verification and final count pending (6-10 November 2026).</x:v>
      </x:c>
    </x:row>
    <x:row r="10" ht="33" customHeight="1">
      <x:c r="A10" t="str">
        <x:v>2024 scope</x:v>
      </x:c>
      <x:c r="B10" s="40" t="str">
        <x:v>93 electoral districts; official Elections BC 2024 Statement of Votes (summary by district), pages 13-15 of report.</x:v>
      </x:c>
    </x:row>
    <x:row r="11" ht="33" customHeight="1">
      <x:c r="A11" t="str">
        <x:v>2026 scope</x:v>
      </x:c>
      <x:c r="B11" s="40" t="str">
        <x:v>93 districts; Elections BC Election Night Reporting Party Report, all ballot boxes reported.</x:v>
      </x:c>
    </x:row>
    <x:row r="12" ht="33" customHeight="1">
      <x:c r="A12" t="str">
        <x:v>Vote share</x:v>
      </x:c>
      <x:c r="B12" s="40" t="str">
        <x:v>Party valid votes divided by valid ballots cast in the SAME district and SAME election. Rejected ballots excluded.</x:v>
      </x:c>
    </x:row>
    <x:row r="13" ht="33" customHeight="1">
      <x:c r="A13" t="str">
        <x:v>Change in share (pp)</x:v>
      </x:c>
      <x:c r="B13" s="40" t="str">
        <x:v>(2026 share - 2024 share) x 100. Units: percentage points, not relative percent.</x:v>
      </x:c>
    </x:row>
    <x:row r="14" ht="33" customHeight="1">
      <x:c r="A14" t="str">
        <x:v>2026 turnout</x:v>
      </x:c>
      <x:c r="B14" s="40" t="str">
        <x:v>Elections BC province-wide participation: considered ballots / registered voters as at 14 Oct 2026.</x:v>
      </x:c>
    </x:row>
    <x:row r="15" ht="33" customHeight="1">
      <x:c r="A15" t="str">
        <x:v>2024 turnout</x:v>
      </x:c>
      <x:c r="B15" s="40" t="str">
        <x:v>Considered ballots / 2024 official registered voters by riding, as at close of vote.</x:v>
      </x:c>
    </x:row>
    <x:row r="16" ht="33" customHeight="1">
      <x:c r="A16" t="str">
        <x:v>2026 riding turnout</x:v>
      </x:c>
      <x:c r="B16" s="40" t="str">
        <x:v>Not computed: no 2026 riding-specific voter register denominator extracted for this report.</x:v>
      </x:c>
    </x:row>
    <x:row r="17" ht="33" customHeight="1">
      <x:c r="A17" t="str">
        <x:v>Ballot count change</x:v>
      </x:c>
      <x:c r="B17" s="40" t="str">
        <x:v>2026 preliminary considered ballots less 2024 final considered ballots. Not an equivalent turnout-rate comparison; will increase after final count.</x:v>
      </x:c>
    </x:row>
    <x:row r="18" ht="33" customHeight="1">
      <x:c r="A18" t="str">
        <x:v>Seat lead</x:v>
      </x:c>
      <x:c r="B18" s="40" t="str">
        <x:v>Highest number of valid votes amongst NDP, Conservative, Green, Other aggregate. CAUTION: Other aggregates could combine multiple candidates and is not a party; 2026 no riding led by Other as verified.</x:v>
      </x:c>
    </x:row>
    <x:row r="19" ht="33" customHeight="1">
      <x:c r="A19" t="str">
        <x:v>Votes transferred?</x:v>
      </x:c>
      <x:c r="B19" s="40" t="str">
        <x:v>Ecological inference issue: aggregate party swings cannot identify individuals changing their votes.</x:v>
      </x:c>
    </x:row>
    <x:row r="20" ht="33" customHeight="1">
      <x:c r="A20" t="str">
        <x:v>Candidate coverage</x:v>
      </x:c>
      <x:c r="B20" s="40" t="str">
        <x:v>A party absent from an election in a riding records 0 votes. Direct comparisons may reflect nomination availability.</x:v>
      </x:c>
    </x:row>
    <x:row r="21" ht="33" customHeight="1">
      <x:c r="A21" t="str">
        <x:v>2026 other category</x:v>
      </x:c>
      <x:c r="B21" s="40" t="str">
        <x:v>CentreBC, OneBC, minor parties, unaffiliated and independents; different composition from 2024 other.</x:v>
      </x:c>
    </x:row>
    <x:row r="22" ht="33" customHeight="1">
      <x:c r="A22" t="str">
        <x:v>Source checks</x:v>
      </x:c>
      <x:c r="B22" s="40" t="str">
        <x:v>Row 2024 party totals sum to 944,579 NDP, 911,153 Conservative, 173,377 Green; 2026 sum to 670,811 NDP, 862,688 Conservative, 196,896 Green.</x:v>
      </x:c>
    </x:row>
    <x:row r="23" ht="33" customHeight="1">
      <x:c r="A23" t="str">
        <x:v>Integrity check</x:v>
      </x:c>
      <x:c r="B23" s="40" t="str">
        <x:v>93 ridings in both years; 2024 ballot total 2,109,658; 2026 preliminary ballots considered 1,799,550.</x:v>
      </x:c>
    </x:row>
    <x:row r="24" ht="33" customHeight="1">
      <x:c r="A24" t="str">
        <x:v>Turnout caveat</x:v>
      </x:c>
      <x:c r="B24" s="40" t="str">
        <x:v>2026 mail-in, absentee and assisted-phone ballots await final count; 2026/2024 registered voter denominators from different dates.</x:v>
      </x:c>
    </x:row>
    <x:row r="25" ht="33" customHeight="1">
      <x:c r="A25" t="str">
        <x:v>How to update</x:v>
      </x:c>
      <x:c r="B25" s="40" t="str">
        <x:v>Replace 2026 input votes K:P with final official values; if certified 2026 registration by riding emerges, add it separately. Then review all flags and conclusions.</x:v>
      </x:c>
    </x:row>
    <x:row r="26" ht="33" customHeight="1">
      <x:c r="A26" t="str">
        <x:v>Regional categories</x:v>
      </x:c>
      <x:c r="B26" s="40" t="str">
        <x:v>Custom analytical grouping of electoral districts based on geography; not an Elections BC region classification.</x:v>
      </x:c>
    </x:row>
    <x:row r="27" ht="33" customHeight="1">
      <x:c r="A27" t="str">
        <x:v>Verification update</x:v>
      </x:c>
      <x:c r="B27" s="40" t="str">
        <x:v>27 October 2026: official live results page still shows initial-count snapshot dated 26 Oct, 10:34. No new riding-level data or seat-lead changes.</x:v>
      </x:c>
    </x:row>
    <x:row r="28">
      <x:c r="A28" t="str">
        <x:v>Comparison baseline</x:v>
      </x:c>
      <x:c r="B28" t="str">
        <x:v>26 October 2026 original initial-count report, same underlying Elections BC result as latest available.</x:v>
      </x:c>
    </x:row>
    <x:row r="29">
      <x:c r="A29" t="str">
        <x:v>Source status</x:v>
      </x:c>
      <x:c r="B29" t="str">
        <x:v>No new official count published as of 27 October check; avoid interpreting unchanged figures as a new vote count.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9" hidden="0" customWidth="1"/>
    <x:col min="21" max="21" width="32" hidden="0" customWidth="1"/>
    <x:col min="22" max="22" width="32" hidden="0" customWidth="1"/>
  </x:cols>
  <x:sheetData>
    <x:row r="1" ht="32" customHeight="1">
      <x:c r="A1" s="44" t="str">
        <x:v>2026 election | Riding-level update comparison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</x:row>
    <x:row r="2" ht="27" customHeight="1">
      <x:c r="A2" s="46" t="str">
        <x:v>CHECKED 27 OCT 2026  |  LATEST ELECTIONS BC DATA 26 OCT, 10:34  |  NO NEW COUNT PUBLISHED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</x:row>
    <x:row r="3" ht="23" customHeight="1">
      <x:c r="A3" s="47" t="str">
        <x:v>Blue columns are the saved Oct 26 snapshot; current columns link to Riding comparison; differences are calculated automatically when future official counts are entered.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</x:row>
    <x:row r="5" ht="39" customHeight="1">
      <x:c r="A5" s="50" t="str">
        <x:v>Riding</x:v>
      </x:c>
      <x:c r="B5" s="50" t="str">
        <x:v>26 Oct NDP</x:v>
      </x:c>
      <x:c r="C5" s="50" t="str">
        <x:v>26 Oct Con</x:v>
      </x:c>
      <x:c r="D5" s="50" t="str">
        <x:v>26 Oct Green</x:v>
      </x:c>
      <x:c r="E5" s="50" t="str">
        <x:v>26 Oct Other</x:v>
      </x:c>
      <x:c r="F5" s="50" t="str">
        <x:v>26 Oct valid</x:v>
      </x:c>
      <x:c r="G5" s="50" t="str">
        <x:v>26 Oct ballots</x:v>
      </x:c>
      <x:c r="H5" s="50" t="str">
        <x:v>Latest NDP</x:v>
      </x:c>
      <x:c r="I5" s="50" t="str">
        <x:v>Latest Con</x:v>
      </x:c>
      <x:c r="J5" s="50" t="str">
        <x:v>Latest Green</x:v>
      </x:c>
      <x:c r="K5" s="50" t="str">
        <x:v>Latest Other</x:v>
      </x:c>
      <x:c r="L5" s="50" t="str">
        <x:v>Latest valid</x:v>
      </x:c>
      <x:c r="M5" s="50" t="str">
        <x:v>Latest ballots</x:v>
      </x:c>
      <x:c r="N5" s="50" t="str">
        <x:v>Δ NDP</x:v>
      </x:c>
      <x:c r="O5" s="50" t="str">
        <x:v>Δ Con</x:v>
      </x:c>
      <x:c r="P5" s="50" t="str">
        <x:v>Δ Green</x:v>
      </x:c>
      <x:c r="Q5" s="50" t="str">
        <x:v>Δ Other</x:v>
      </x:c>
      <x:c r="R5" s="50" t="str">
        <x:v>Δ valid</x:v>
      </x:c>
      <x:c r="S5" s="50" t="str">
        <x:v>Δ ballots</x:v>
      </x:c>
      <x:c r="T5" s="50" t="str">
        <x:v>Riding changed?</x:v>
      </x:c>
      <x:c r="U5" s="50" t="str">
        <x:v>Initial source</x:v>
      </x:c>
      <x:c r="V5" s="50" t="str">
        <x:v>Latest source</x:v>
      </x:c>
    </x:row>
    <x:row r="6" ht="19" customHeight="1">
      <x:c r="A6" t="str">
        <x:v>Abbotsford-Mission</x:v>
      </x:c>
      <x:c r="B6" s="51" t="n">
        <x:v>7486</x:v>
      </x:c>
      <x:c r="C6" s="51" t="n">
        <x:v>11848</x:v>
      </x:c>
      <x:c r="D6" s="51" t="n">
        <x:v>0</x:v>
      </x:c>
      <x:c r="E6" s="51" t="n">
        <x:v>1568</x:v>
      </x:c>
      <x:c r="F6" s="51" t="n">
        <x:v>20902</x:v>
      </x:c>
      <x:c r="G6" s="51" t="n">
        <x:v>20948</x:v>
      </x:c>
      <x:c r="H6" s="52" t="n">
        <x:f>'Riding comparison'!K6</x:f>
        <x:v>7486</x:v>
      </x:c>
      <x:c r="I6" s="52" t="n">
        <x:f>'Riding comparison'!L6</x:f>
        <x:v>11848</x:v>
      </x:c>
      <x:c r="J6" s="52" t="n">
        <x:f>'Riding comparison'!M6</x:f>
        <x:v>0</x:v>
      </x:c>
      <x:c r="K6" s="52" t="n">
        <x:f>'Riding comparison'!N6</x:f>
        <x:v>1568</x:v>
      </x:c>
      <x:c r="L6" s="52" t="n">
        <x:f>'Riding comparison'!O6</x:f>
        <x:v>20902</x:v>
      </x:c>
      <x:c r="M6" s="52" t="n">
        <x:f>'Riding comparison'!P6</x:f>
        <x:v>20948</x:v>
      </x:c>
      <x:c r="N6" s="53" t="n">
        <x:f>H6-B6</x:f>
        <x:v>0</x:v>
      </x:c>
      <x:c r="O6" s="53" t="n">
        <x:f>I6-C6</x:f>
        <x:v>0</x:v>
      </x:c>
      <x:c r="P6" s="53" t="n">
        <x:f>J6-D6</x:f>
        <x:v>0</x:v>
      </x:c>
      <x:c r="Q6" s="53" t="n">
        <x:f>K6-E6</x:f>
        <x:v>0</x:v>
      </x:c>
      <x:c r="R6" s="53" t="n">
        <x:f>L6-F6</x:f>
        <x:v>0</x:v>
      </x:c>
      <x:c r="S6" s="53" t="n">
        <x:f>M6-G6</x:f>
        <x:v>0</x:v>
      </x:c>
      <x:c r="T6" t="str">
        <x:f>IF(COUNTIF(N6:S6,"&lt;&gt;0")=0,"UNCHANGED","UPDATED")</x:f>
        <x:v>UNCHANGED</x:v>
      </x:c>
      <x:c r="U6" t="str">
        <x:v>https://results.elections.bc.ca/</x:v>
      </x:c>
      <x:c r="V6" t="str">
        <x:v>https://results.elections.bc.ca/</x:v>
      </x:c>
    </x:row>
    <x:row r="7" ht="19" customHeight="1">
      <x:c r="A7" t="str">
        <x:v>Abbotsford South</x:v>
      </x:c>
      <x:c r="B7" s="51" t="n">
        <x:v>5201</x:v>
      </x:c>
      <x:c r="C7" s="51" t="n">
        <x:v>11023</x:v>
      </x:c>
      <x:c r="D7" s="51" t="n">
        <x:v>0</x:v>
      </x:c>
      <x:c r="E7" s="51" t="n">
        <x:v>1145</x:v>
      </x:c>
      <x:c r="F7" s="51" t="n">
        <x:v>17369</x:v>
      </x:c>
      <x:c r="G7" s="51" t="n">
        <x:v>17423</x:v>
      </x:c>
      <x:c r="H7" s="52" t="n">
        <x:f>'Riding comparison'!K7</x:f>
        <x:v>5201</x:v>
      </x:c>
      <x:c r="I7" s="52" t="n">
        <x:f>'Riding comparison'!L7</x:f>
        <x:v>11023</x:v>
      </x:c>
      <x:c r="J7" s="52" t="n">
        <x:f>'Riding comparison'!M7</x:f>
        <x:v>0</x:v>
      </x:c>
      <x:c r="K7" s="52" t="n">
        <x:f>'Riding comparison'!N7</x:f>
        <x:v>1145</x:v>
      </x:c>
      <x:c r="L7" s="52" t="n">
        <x:f>'Riding comparison'!O7</x:f>
        <x:v>17369</x:v>
      </x:c>
      <x:c r="M7" s="52" t="n">
        <x:f>'Riding comparison'!P7</x:f>
        <x:v>17423</x:v>
      </x:c>
      <x:c r="N7" s="53" t="n">
        <x:f>H7-B7</x:f>
        <x:v>0</x:v>
      </x:c>
      <x:c r="O7" s="53" t="n">
        <x:f>I7-C7</x:f>
        <x:v>0</x:v>
      </x:c>
      <x:c r="P7" s="53" t="n">
        <x:f>J7-D7</x:f>
        <x:v>0</x:v>
      </x:c>
      <x:c r="Q7" s="53" t="n">
        <x:f>K7-E7</x:f>
        <x:v>0</x:v>
      </x:c>
      <x:c r="R7" s="53" t="n">
        <x:f>L7-F7</x:f>
        <x:v>0</x:v>
      </x:c>
      <x:c r="S7" s="53" t="n">
        <x:f>M7-G7</x:f>
        <x:v>0</x:v>
      </x:c>
      <x:c r="T7" t="str">
        <x:f>IF(COUNTIF(N7:S7,"&lt;&gt;0")=0,"UNCHANGED","UPDATED")</x:f>
        <x:v>UNCHANGED</x:v>
      </x:c>
      <x:c r="U7" t="str">
        <x:v>https://results.elections.bc.ca/</x:v>
      </x:c>
      <x:c r="V7" t="str">
        <x:v>https://results.elections.bc.ca/</x:v>
      </x:c>
    </x:row>
    <x:row r="8" ht="19" customHeight="1">
      <x:c r="A8" t="str">
        <x:v>Abbotsford West</x:v>
      </x:c>
      <x:c r="B8" s="51" t="n">
        <x:v>4517</x:v>
      </x:c>
      <x:c r="C8" s="51" t="n">
        <x:v>9696</x:v>
      </x:c>
      <x:c r="D8" s="51" t="n">
        <x:v>0</x:v>
      </x:c>
      <x:c r="E8" s="51" t="n">
        <x:v>1442</x:v>
      </x:c>
      <x:c r="F8" s="51" t="n">
        <x:v>15655</x:v>
      </x:c>
      <x:c r="G8" s="51" t="n">
        <x:v>15705</x:v>
      </x:c>
      <x:c r="H8" s="52" t="n">
        <x:f>'Riding comparison'!K8</x:f>
        <x:v>4517</x:v>
      </x:c>
      <x:c r="I8" s="52" t="n">
        <x:f>'Riding comparison'!L8</x:f>
        <x:v>9696</x:v>
      </x:c>
      <x:c r="J8" s="52" t="n">
        <x:f>'Riding comparison'!M8</x:f>
        <x:v>0</x:v>
      </x:c>
      <x:c r="K8" s="52" t="n">
        <x:f>'Riding comparison'!N8</x:f>
        <x:v>1442</x:v>
      </x:c>
      <x:c r="L8" s="52" t="n">
        <x:f>'Riding comparison'!O8</x:f>
        <x:v>15655</x:v>
      </x:c>
      <x:c r="M8" s="52" t="n">
        <x:f>'Riding comparison'!P8</x:f>
        <x:v>15705</x:v>
      </x:c>
      <x:c r="N8" s="53" t="n">
        <x:f>H8-B8</x:f>
        <x:v>0</x:v>
      </x:c>
      <x:c r="O8" s="53" t="n">
        <x:f>I8-C8</x:f>
        <x:v>0</x:v>
      </x:c>
      <x:c r="P8" s="53" t="n">
        <x:f>J8-D8</x:f>
        <x:v>0</x:v>
      </x:c>
      <x:c r="Q8" s="53" t="n">
        <x:f>K8-E8</x:f>
        <x:v>0</x:v>
      </x:c>
      <x:c r="R8" s="53" t="n">
        <x:f>L8-F8</x:f>
        <x:v>0</x:v>
      </x:c>
      <x:c r="S8" s="53" t="n">
        <x:f>M8-G8</x:f>
        <x:v>0</x:v>
      </x:c>
      <x:c r="T8" t="str">
        <x:f>IF(COUNTIF(N8:S8,"&lt;&gt;0")=0,"UNCHANGED","UPDATED")</x:f>
        <x:v>UNCHANGED</x:v>
      </x:c>
      <x:c r="U8" t="str">
        <x:v>https://results.elections.bc.ca/</x:v>
      </x:c>
      <x:c r="V8" t="str">
        <x:v>https://results.elections.bc.ca/</x:v>
      </x:c>
    </x:row>
    <x:row r="9" ht="19" customHeight="1">
      <x:c r="A9" t="str">
        <x:v>Boundary-Similkameen</x:v>
      </x:c>
      <x:c r="B9" s="51" t="n">
        <x:v>8870</x:v>
      </x:c>
      <x:c r="C9" s="51" t="n">
        <x:v>11465</x:v>
      </x:c>
      <x:c r="D9" s="51" t="n">
        <x:v>0</x:v>
      </x:c>
      <x:c r="E9" s="51" t="n">
        <x:v>1495</x:v>
      </x:c>
      <x:c r="F9" s="51" t="n">
        <x:v>21830</x:v>
      </x:c>
      <x:c r="G9" s="51" t="n">
        <x:v>21888</x:v>
      </x:c>
      <x:c r="H9" s="52" t="n">
        <x:f>'Riding comparison'!K9</x:f>
        <x:v>8870</x:v>
      </x:c>
      <x:c r="I9" s="52" t="n">
        <x:f>'Riding comparison'!L9</x:f>
        <x:v>11465</x:v>
      </x:c>
      <x:c r="J9" s="52" t="n">
        <x:f>'Riding comparison'!M9</x:f>
        <x:v>0</x:v>
      </x:c>
      <x:c r="K9" s="52" t="n">
        <x:f>'Riding comparison'!N9</x:f>
        <x:v>1495</x:v>
      </x:c>
      <x:c r="L9" s="52" t="n">
        <x:f>'Riding comparison'!O9</x:f>
        <x:v>21830</x:v>
      </x:c>
      <x:c r="M9" s="52" t="n">
        <x:f>'Riding comparison'!P9</x:f>
        <x:v>21888</x:v>
      </x:c>
      <x:c r="N9" s="53" t="n">
        <x:f>H9-B9</x:f>
        <x:v>0</x:v>
      </x:c>
      <x:c r="O9" s="53" t="n">
        <x:f>I9-C9</x:f>
        <x:v>0</x:v>
      </x:c>
      <x:c r="P9" s="53" t="n">
        <x:f>J9-D9</x:f>
        <x:v>0</x:v>
      </x:c>
      <x:c r="Q9" s="53" t="n">
        <x:f>K9-E9</x:f>
        <x:v>0</x:v>
      </x:c>
      <x:c r="R9" s="53" t="n">
        <x:f>L9-F9</x:f>
        <x:v>0</x:v>
      </x:c>
      <x:c r="S9" s="53" t="n">
        <x:f>M9-G9</x:f>
        <x:v>0</x:v>
      </x:c>
      <x:c r="T9" t="str">
        <x:f>IF(COUNTIF(N9:S9,"&lt;&gt;0")=0,"UNCHANGED","UPDATED")</x:f>
        <x:v>UNCHANGED</x:v>
      </x:c>
      <x:c r="U9" t="str">
        <x:v>https://results.elections.bc.ca/</x:v>
      </x:c>
      <x:c r="V9" t="str">
        <x:v>https://results.elections.bc.ca/</x:v>
      </x:c>
    </x:row>
    <x:row r="10" ht="19" customHeight="1">
      <x:c r="A10" t="str">
        <x:v>Bulkley Valley-Stikine</x:v>
      </x:c>
      <x:c r="B10" s="51" t="n">
        <x:v>3872</x:v>
      </x:c>
      <x:c r="C10" s="51" t="n">
        <x:v>4333</x:v>
      </x:c>
      <x:c r="D10" s="51" t="n">
        <x:v>0</x:v>
      </x:c>
      <x:c r="E10" s="51" t="n">
        <x:v>284</x:v>
      </x:c>
      <x:c r="F10" s="51" t="n">
        <x:v>8489</x:v>
      </x:c>
      <x:c r="G10" s="51" t="n">
        <x:v>8539</x:v>
      </x:c>
      <x:c r="H10" s="52" t="n">
        <x:f>'Riding comparison'!K10</x:f>
        <x:v>3872</x:v>
      </x:c>
      <x:c r="I10" s="52" t="n">
        <x:f>'Riding comparison'!L10</x:f>
        <x:v>4333</x:v>
      </x:c>
      <x:c r="J10" s="52" t="n">
        <x:f>'Riding comparison'!M10</x:f>
        <x:v>0</x:v>
      </x:c>
      <x:c r="K10" s="52" t="n">
        <x:f>'Riding comparison'!N10</x:f>
        <x:v>284</x:v>
      </x:c>
      <x:c r="L10" s="52" t="n">
        <x:f>'Riding comparison'!O10</x:f>
        <x:v>8489</x:v>
      </x:c>
      <x:c r="M10" s="52" t="n">
        <x:f>'Riding comparison'!P10</x:f>
        <x:v>8539</x:v>
      </x:c>
      <x:c r="N10" s="53" t="n">
        <x:f>H10-B10</x:f>
        <x:v>0</x:v>
      </x:c>
      <x:c r="O10" s="53" t="n">
        <x:f>I10-C10</x:f>
        <x:v>0</x:v>
      </x:c>
      <x:c r="P10" s="53" t="n">
        <x:f>J10-D10</x:f>
        <x:v>0</x:v>
      </x:c>
      <x:c r="Q10" s="53" t="n">
        <x:f>K10-E10</x:f>
        <x:v>0</x:v>
      </x:c>
      <x:c r="R10" s="53" t="n">
        <x:f>L10-F10</x:f>
        <x:v>0</x:v>
      </x:c>
      <x:c r="S10" s="53" t="n">
        <x:f>M10-G10</x:f>
        <x:v>0</x:v>
      </x:c>
      <x:c r="T10" t="str">
        <x:f>IF(COUNTIF(N10:S10,"&lt;&gt;0")=0,"UNCHANGED","UPDATED")</x:f>
        <x:v>UNCHANGED</x:v>
      </x:c>
      <x:c r="U10" t="str">
        <x:v>https://results.elections.bc.ca/</x:v>
      </x:c>
      <x:c r="V10" t="str">
        <x:v>https://results.elections.bc.ca/</x:v>
      </x:c>
    </x:row>
    <x:row r="11" ht="19" customHeight="1">
      <x:c r="A11" t="str">
        <x:v>Burnaby Centre</x:v>
      </x:c>
      <x:c r="B11" s="51" t="n">
        <x:v>5955</x:v>
      </x:c>
      <x:c r="C11" s="51" t="n">
        <x:v>6735</x:v>
      </x:c>
      <x:c r="D11" s="51" t="n">
        <x:v>1169</x:v>
      </x:c>
      <x:c r="E11" s="51" t="n">
        <x:v>370</x:v>
      </x:c>
      <x:c r="F11" s="51" t="n">
        <x:v>14229</x:v>
      </x:c>
      <x:c r="G11" s="51" t="n">
        <x:v>14275</x:v>
      </x:c>
      <x:c r="H11" s="52" t="n">
        <x:f>'Riding comparison'!K11</x:f>
        <x:v>5955</x:v>
      </x:c>
      <x:c r="I11" s="52" t="n">
        <x:f>'Riding comparison'!L11</x:f>
        <x:v>6735</x:v>
      </x:c>
      <x:c r="J11" s="52" t="n">
        <x:f>'Riding comparison'!M11</x:f>
        <x:v>1169</x:v>
      </x:c>
      <x:c r="K11" s="52" t="n">
        <x:f>'Riding comparison'!N11</x:f>
        <x:v>370</x:v>
      </x:c>
      <x:c r="L11" s="52" t="n">
        <x:f>'Riding comparison'!O11</x:f>
        <x:v>14229</x:v>
      </x:c>
      <x:c r="M11" s="52" t="n">
        <x:f>'Riding comparison'!P11</x:f>
        <x:v>14275</x:v>
      </x:c>
      <x:c r="N11" s="53" t="n">
        <x:f>H11-B11</x:f>
        <x:v>0</x:v>
      </x:c>
      <x:c r="O11" s="53" t="n">
        <x:f>I11-C11</x:f>
        <x:v>0</x:v>
      </x:c>
      <x:c r="P11" s="53" t="n">
        <x:f>J11-D11</x:f>
        <x:v>0</x:v>
      </x:c>
      <x:c r="Q11" s="53" t="n">
        <x:f>K11-E11</x:f>
        <x:v>0</x:v>
      </x:c>
      <x:c r="R11" s="53" t="n">
        <x:f>L11-F11</x:f>
        <x:v>0</x:v>
      </x:c>
      <x:c r="S11" s="53" t="n">
        <x:f>M11-G11</x:f>
        <x:v>0</x:v>
      </x:c>
      <x:c r="T11" t="str">
        <x:f>IF(COUNTIF(N11:S11,"&lt;&gt;0")=0,"UNCHANGED","UPDATED")</x:f>
        <x:v>UNCHANGED</x:v>
      </x:c>
      <x:c r="U11" t="str">
        <x:v>https://results.elections.bc.ca/</x:v>
      </x:c>
      <x:c r="V11" t="str">
        <x:v>https://results.elections.bc.ca/</x:v>
      </x:c>
    </x:row>
    <x:row r="12" ht="19" customHeight="1">
      <x:c r="A12" t="str">
        <x:v>Burnaby East</x:v>
      </x:c>
      <x:c r="B12" s="51" t="n">
        <x:v>7759</x:v>
      </x:c>
      <x:c r="C12" s="51" t="n">
        <x:v>7518</x:v>
      </x:c>
      <x:c r="D12" s="51" t="n">
        <x:v>1672</x:v>
      </x:c>
      <x:c r="E12" s="51" t="n">
        <x:v>523</x:v>
      </x:c>
      <x:c r="F12" s="51" t="n">
        <x:v>17472</x:v>
      </x:c>
      <x:c r="G12" s="51" t="n">
        <x:v>17509</x:v>
      </x:c>
      <x:c r="H12" s="52" t="n">
        <x:f>'Riding comparison'!K12</x:f>
        <x:v>7759</x:v>
      </x:c>
      <x:c r="I12" s="52" t="n">
        <x:f>'Riding comparison'!L12</x:f>
        <x:v>7518</x:v>
      </x:c>
      <x:c r="J12" s="52" t="n">
        <x:f>'Riding comparison'!M12</x:f>
        <x:v>1672</x:v>
      </x:c>
      <x:c r="K12" s="52" t="n">
        <x:f>'Riding comparison'!N12</x:f>
        <x:v>523</x:v>
      </x:c>
      <x:c r="L12" s="52" t="n">
        <x:f>'Riding comparison'!O12</x:f>
        <x:v>17472</x:v>
      </x:c>
      <x:c r="M12" s="52" t="n">
        <x:f>'Riding comparison'!P12</x:f>
        <x:v>17509</x:v>
      </x:c>
      <x:c r="N12" s="53" t="n">
        <x:f>H12-B12</x:f>
        <x:v>0</x:v>
      </x:c>
      <x:c r="O12" s="53" t="n">
        <x:f>I12-C12</x:f>
        <x:v>0</x:v>
      </x:c>
      <x:c r="P12" s="53" t="n">
        <x:f>J12-D12</x:f>
        <x:v>0</x:v>
      </x:c>
      <x:c r="Q12" s="53" t="n">
        <x:f>K12-E12</x:f>
        <x:v>0</x:v>
      </x:c>
      <x:c r="R12" s="53" t="n">
        <x:f>L12-F12</x:f>
        <x:v>0</x:v>
      </x:c>
      <x:c r="S12" s="53" t="n">
        <x:f>M12-G12</x:f>
        <x:v>0</x:v>
      </x:c>
      <x:c r="T12" t="str">
        <x:f>IF(COUNTIF(N12:S12,"&lt;&gt;0")=0,"UNCHANGED","UPDATED")</x:f>
        <x:v>UNCHANGED</x:v>
      </x:c>
      <x:c r="U12" t="str">
        <x:v>https://results.elections.bc.ca/</x:v>
      </x:c>
      <x:c r="V12" t="str">
        <x:v>https://results.elections.bc.ca/</x:v>
      </x:c>
    </x:row>
    <x:row r="13" ht="19" customHeight="1">
      <x:c r="A13" t="str">
        <x:v>Burnaby-New Westminster</x:v>
      </x:c>
      <x:c r="B13" s="51" t="n">
        <x:v>7748</x:v>
      </x:c>
      <x:c r="C13" s="51" t="n">
        <x:v>6163</x:v>
      </x:c>
      <x:c r="D13" s="51" t="n">
        <x:v>0</x:v>
      </x:c>
      <x:c r="E13" s="51" t="n">
        <x:v>0</x:v>
      </x:c>
      <x:c r="F13" s="51" t="n">
        <x:v>13911</x:v>
      </x:c>
      <x:c r="G13" s="51" t="n">
        <x:v>14393</x:v>
      </x:c>
      <x:c r="H13" s="52" t="n">
        <x:f>'Riding comparison'!K13</x:f>
        <x:v>7748</x:v>
      </x:c>
      <x:c r="I13" s="52" t="n">
        <x:f>'Riding comparison'!L13</x:f>
        <x:v>6163</x:v>
      </x:c>
      <x:c r="J13" s="52" t="n">
        <x:f>'Riding comparison'!M13</x:f>
        <x:v>0</x:v>
      </x:c>
      <x:c r="K13" s="52" t="n">
        <x:f>'Riding comparison'!N13</x:f>
        <x:v>0</x:v>
      </x:c>
      <x:c r="L13" s="52" t="n">
        <x:f>'Riding comparison'!O13</x:f>
        <x:v>13911</x:v>
      </x:c>
      <x:c r="M13" s="52" t="n">
        <x:f>'Riding comparison'!P13</x:f>
        <x:v>14393</x:v>
      </x:c>
      <x:c r="N13" s="53" t="n">
        <x:f>H13-B13</x:f>
        <x:v>0</x:v>
      </x:c>
      <x:c r="O13" s="53" t="n">
        <x:f>I13-C13</x:f>
        <x:v>0</x:v>
      </x:c>
      <x:c r="P13" s="53" t="n">
        <x:f>J13-D13</x:f>
        <x:v>0</x:v>
      </x:c>
      <x:c r="Q13" s="53" t="n">
        <x:f>K13-E13</x:f>
        <x:v>0</x:v>
      </x:c>
      <x:c r="R13" s="53" t="n">
        <x:f>L13-F13</x:f>
        <x:v>0</x:v>
      </x:c>
      <x:c r="S13" s="53" t="n">
        <x:f>M13-G13</x:f>
        <x:v>0</x:v>
      </x:c>
      <x:c r="T13" t="str">
        <x:f>IF(COUNTIF(N13:S13,"&lt;&gt;0")=0,"UNCHANGED","UPDATED")</x:f>
        <x:v>UNCHANGED</x:v>
      </x:c>
      <x:c r="U13" t="str">
        <x:v>https://results.elections.bc.ca/</x:v>
      </x:c>
      <x:c r="V13" t="str">
        <x:v>https://results.elections.bc.ca/</x:v>
      </x:c>
    </x:row>
    <x:row r="14" ht="19" customHeight="1">
      <x:c r="A14" t="str">
        <x:v>Burnaby North</x:v>
      </x:c>
      <x:c r="B14" s="51" t="n">
        <x:v>7478</x:v>
      </x:c>
      <x:c r="C14" s="51" t="n">
        <x:v>8260</x:v>
      </x:c>
      <x:c r="D14" s="51" t="n">
        <x:v>1618</x:v>
      </x:c>
      <x:c r="E14" s="51" t="n">
        <x:v>413</x:v>
      </x:c>
      <x:c r="F14" s="51" t="n">
        <x:v>17769</x:v>
      </x:c>
      <x:c r="G14" s="51" t="n">
        <x:v>17819</x:v>
      </x:c>
      <x:c r="H14" s="52" t="n">
        <x:f>'Riding comparison'!K14</x:f>
        <x:v>7478</x:v>
      </x:c>
      <x:c r="I14" s="52" t="n">
        <x:f>'Riding comparison'!L14</x:f>
        <x:v>8260</x:v>
      </x:c>
      <x:c r="J14" s="52" t="n">
        <x:f>'Riding comparison'!M14</x:f>
        <x:v>1618</x:v>
      </x:c>
      <x:c r="K14" s="52" t="n">
        <x:f>'Riding comparison'!N14</x:f>
        <x:v>413</x:v>
      </x:c>
      <x:c r="L14" s="52" t="n">
        <x:f>'Riding comparison'!O14</x:f>
        <x:v>17769</x:v>
      </x:c>
      <x:c r="M14" s="52" t="n">
        <x:f>'Riding comparison'!P14</x:f>
        <x:v>17819</x:v>
      </x:c>
      <x:c r="N14" s="53" t="n">
        <x:f>H14-B14</x:f>
        <x:v>0</x:v>
      </x:c>
      <x:c r="O14" s="53" t="n">
        <x:f>I14-C14</x:f>
        <x:v>0</x:v>
      </x:c>
      <x:c r="P14" s="53" t="n">
        <x:f>J14-D14</x:f>
        <x:v>0</x:v>
      </x:c>
      <x:c r="Q14" s="53" t="n">
        <x:f>K14-E14</x:f>
        <x:v>0</x:v>
      </x:c>
      <x:c r="R14" s="53" t="n">
        <x:f>L14-F14</x:f>
        <x:v>0</x:v>
      </x:c>
      <x:c r="S14" s="53" t="n">
        <x:f>M14-G14</x:f>
        <x:v>0</x:v>
      </x:c>
      <x:c r="T14" t="str">
        <x:f>IF(COUNTIF(N14:S14,"&lt;&gt;0")=0,"UNCHANGED","UPDATED")</x:f>
        <x:v>UNCHANGED</x:v>
      </x:c>
      <x:c r="U14" t="str">
        <x:v>https://results.elections.bc.ca/</x:v>
      </x:c>
      <x:c r="V14" t="str">
        <x:v>https://results.elections.bc.ca/</x:v>
      </x:c>
    </x:row>
    <x:row r="15" ht="19" customHeight="1">
      <x:c r="A15" t="str">
        <x:v>Burnaby South-Metrotown</x:v>
      </x:c>
      <x:c r="B15" s="51" t="n">
        <x:v>5811</x:v>
      </x:c>
      <x:c r="C15" s="51" t="n">
        <x:v>5745</x:v>
      </x:c>
      <x:c r="D15" s="51" t="n">
        <x:v>1151</x:v>
      </x:c>
      <x:c r="E15" s="51" t="n">
        <x:v>379</x:v>
      </x:c>
      <x:c r="F15" s="51" t="n">
        <x:v>13086</x:v>
      </x:c>
      <x:c r="G15" s="51" t="n">
        <x:v>13144</x:v>
      </x:c>
      <x:c r="H15" s="52" t="n">
        <x:f>'Riding comparison'!K15</x:f>
        <x:v>5811</x:v>
      </x:c>
      <x:c r="I15" s="52" t="n">
        <x:f>'Riding comparison'!L15</x:f>
        <x:v>5745</x:v>
      </x:c>
      <x:c r="J15" s="52" t="n">
        <x:f>'Riding comparison'!M15</x:f>
        <x:v>1151</x:v>
      </x:c>
      <x:c r="K15" s="52" t="n">
        <x:f>'Riding comparison'!N15</x:f>
        <x:v>379</x:v>
      </x:c>
      <x:c r="L15" s="52" t="n">
        <x:f>'Riding comparison'!O15</x:f>
        <x:v>13086</x:v>
      </x:c>
      <x:c r="M15" s="52" t="n">
        <x:f>'Riding comparison'!P15</x:f>
        <x:v>13144</x:v>
      </x:c>
      <x:c r="N15" s="53" t="n">
        <x:f>H15-B15</x:f>
        <x:v>0</x:v>
      </x:c>
      <x:c r="O15" s="53" t="n">
        <x:f>I15-C15</x:f>
        <x:v>0</x:v>
      </x:c>
      <x:c r="P15" s="53" t="n">
        <x:f>J15-D15</x:f>
        <x:v>0</x:v>
      </x:c>
      <x:c r="Q15" s="53" t="n">
        <x:f>K15-E15</x:f>
        <x:v>0</x:v>
      </x:c>
      <x:c r="R15" s="53" t="n">
        <x:f>L15-F15</x:f>
        <x:v>0</x:v>
      </x:c>
      <x:c r="S15" s="53" t="n">
        <x:f>M15-G15</x:f>
        <x:v>0</x:v>
      </x:c>
      <x:c r="T15" t="str">
        <x:f>IF(COUNTIF(N15:S15,"&lt;&gt;0")=0,"UNCHANGED","UPDATED")</x:f>
        <x:v>UNCHANGED</x:v>
      </x:c>
      <x:c r="U15" t="str">
        <x:v>https://results.elections.bc.ca/</x:v>
      </x:c>
      <x:c r="V15" t="str">
        <x:v>https://results.elections.bc.ca/</x:v>
      </x:c>
    </x:row>
    <x:row r="16" ht="19" customHeight="1">
      <x:c r="A16" t="str">
        <x:v>Cariboo-Chilcotin</x:v>
      </x:c>
      <x:c r="B16" s="51" t="n">
        <x:v>3123</x:v>
      </x:c>
      <x:c r="C16" s="51" t="n">
        <x:v>14218</x:v>
      </x:c>
      <x:c r="D16" s="51" t="n">
        <x:v>1103</x:v>
      </x:c>
      <x:c r="E16" s="51" t="n">
        <x:v>0</x:v>
      </x:c>
      <x:c r="F16" s="51" t="n">
        <x:v>18444</x:v>
      </x:c>
      <x:c r="G16" s="51" t="n">
        <x:v>18488</x:v>
      </x:c>
      <x:c r="H16" s="52" t="n">
        <x:f>'Riding comparison'!K16</x:f>
        <x:v>3123</x:v>
      </x:c>
      <x:c r="I16" s="52" t="n">
        <x:f>'Riding comparison'!L16</x:f>
        <x:v>14218</x:v>
      </x:c>
      <x:c r="J16" s="52" t="n">
        <x:f>'Riding comparison'!M16</x:f>
        <x:v>1103</x:v>
      </x:c>
      <x:c r="K16" s="52" t="n">
        <x:f>'Riding comparison'!N16</x:f>
        <x:v>0</x:v>
      </x:c>
      <x:c r="L16" s="52" t="n">
        <x:f>'Riding comparison'!O16</x:f>
        <x:v>18444</x:v>
      </x:c>
      <x:c r="M16" s="52" t="n">
        <x:f>'Riding comparison'!P16</x:f>
        <x:v>18488</x:v>
      </x:c>
      <x:c r="N16" s="53" t="n">
        <x:f>H16-B16</x:f>
        <x:v>0</x:v>
      </x:c>
      <x:c r="O16" s="53" t="n">
        <x:f>I16-C16</x:f>
        <x:v>0</x:v>
      </x:c>
      <x:c r="P16" s="53" t="n">
        <x:f>J16-D16</x:f>
        <x:v>0</x:v>
      </x:c>
      <x:c r="Q16" s="53" t="n">
        <x:f>K16-E16</x:f>
        <x:v>0</x:v>
      </x:c>
      <x:c r="R16" s="53" t="n">
        <x:f>L16-F16</x:f>
        <x:v>0</x:v>
      </x:c>
      <x:c r="S16" s="53" t="n">
        <x:f>M16-G16</x:f>
        <x:v>0</x:v>
      </x:c>
      <x:c r="T16" t="str">
        <x:f>IF(COUNTIF(N16:S16,"&lt;&gt;0")=0,"UNCHANGED","UPDATED")</x:f>
        <x:v>UNCHANGED</x:v>
      </x:c>
      <x:c r="U16" t="str">
        <x:v>https://results.elections.bc.ca/</x:v>
      </x:c>
      <x:c r="V16" t="str">
        <x:v>https://results.elections.bc.ca/</x:v>
      </x:c>
    </x:row>
    <x:row r="17" ht="19" customHeight="1">
      <x:c r="A17" t="str">
        <x:v>Chilliwack-Cultus Lake</x:v>
      </x:c>
      <x:c r="B17" s="51" t="n">
        <x:v>8430</x:v>
      </x:c>
      <x:c r="C17" s="51" t="n">
        <x:v>12712</x:v>
      </x:c>
      <x:c r="D17" s="51" t="n">
        <x:v>0</x:v>
      </x:c>
      <x:c r="E17" s="51" t="n">
        <x:v>0</x:v>
      </x:c>
      <x:c r="F17" s="51" t="n">
        <x:v>21142</x:v>
      </x:c>
      <x:c r="G17" s="51" t="n">
        <x:v>21224</x:v>
      </x:c>
      <x:c r="H17" s="52" t="n">
        <x:f>'Riding comparison'!K17</x:f>
        <x:v>8430</x:v>
      </x:c>
      <x:c r="I17" s="52" t="n">
        <x:f>'Riding comparison'!L17</x:f>
        <x:v>12712</x:v>
      </x:c>
      <x:c r="J17" s="52" t="n">
        <x:f>'Riding comparison'!M17</x:f>
        <x:v>0</x:v>
      </x:c>
      <x:c r="K17" s="52" t="n">
        <x:f>'Riding comparison'!N17</x:f>
        <x:v>0</x:v>
      </x:c>
      <x:c r="L17" s="52" t="n">
        <x:f>'Riding comparison'!O17</x:f>
        <x:v>21142</x:v>
      </x:c>
      <x:c r="M17" s="52" t="n">
        <x:f>'Riding comparison'!P17</x:f>
        <x:v>21224</x:v>
      </x:c>
      <x:c r="N17" s="53" t="n">
        <x:f>H17-B17</x:f>
        <x:v>0</x:v>
      </x:c>
      <x:c r="O17" s="53" t="n">
        <x:f>I17-C17</x:f>
        <x:v>0</x:v>
      </x:c>
      <x:c r="P17" s="53" t="n">
        <x:f>J17-D17</x:f>
        <x:v>0</x:v>
      </x:c>
      <x:c r="Q17" s="53" t="n">
        <x:f>K17-E17</x:f>
        <x:v>0</x:v>
      </x:c>
      <x:c r="R17" s="53" t="n">
        <x:f>L17-F17</x:f>
        <x:v>0</x:v>
      </x:c>
      <x:c r="S17" s="53" t="n">
        <x:f>M17-G17</x:f>
        <x:v>0</x:v>
      </x:c>
      <x:c r="T17" t="str">
        <x:f>IF(COUNTIF(N17:S17,"&lt;&gt;0")=0,"UNCHANGED","UPDATED")</x:f>
        <x:v>UNCHANGED</x:v>
      </x:c>
      <x:c r="U17" t="str">
        <x:v>https://results.elections.bc.ca/</x:v>
      </x:c>
      <x:c r="V17" t="str">
        <x:v>https://results.elections.bc.ca/</x:v>
      </x:c>
    </x:row>
    <x:row r="18" ht="19" customHeight="1">
      <x:c r="A18" t="str">
        <x:v>Chilliwack North</x:v>
      </x:c>
      <x:c r="B18" s="51" t="n">
        <x:v>5817</x:v>
      </x:c>
      <x:c r="C18" s="51" t="n">
        <x:v>10504</x:v>
      </x:c>
      <x:c r="D18" s="51" t="n">
        <x:v>0</x:v>
      </x:c>
      <x:c r="E18" s="51" t="n">
        <x:v>1326</x:v>
      </x:c>
      <x:c r="F18" s="51" t="n">
        <x:v>17647</x:v>
      </x:c>
      <x:c r="G18" s="51" t="n">
        <x:v>17683</x:v>
      </x:c>
      <x:c r="H18" s="52" t="n">
        <x:f>'Riding comparison'!K18</x:f>
        <x:v>5817</x:v>
      </x:c>
      <x:c r="I18" s="52" t="n">
        <x:f>'Riding comparison'!L18</x:f>
        <x:v>10504</x:v>
      </x:c>
      <x:c r="J18" s="52" t="n">
        <x:f>'Riding comparison'!M18</x:f>
        <x:v>0</x:v>
      </x:c>
      <x:c r="K18" s="52" t="n">
        <x:f>'Riding comparison'!N18</x:f>
        <x:v>1326</x:v>
      </x:c>
      <x:c r="L18" s="52" t="n">
        <x:f>'Riding comparison'!O18</x:f>
        <x:v>17647</x:v>
      </x:c>
      <x:c r="M18" s="52" t="n">
        <x:f>'Riding comparison'!P18</x:f>
        <x:v>17683</x:v>
      </x:c>
      <x:c r="N18" s="53" t="n">
        <x:f>H18-B18</x:f>
        <x:v>0</x:v>
      </x:c>
      <x:c r="O18" s="53" t="n">
        <x:f>I18-C18</x:f>
        <x:v>0</x:v>
      </x:c>
      <x:c r="P18" s="53" t="n">
        <x:f>J18-D18</x:f>
        <x:v>0</x:v>
      </x:c>
      <x:c r="Q18" s="53" t="n">
        <x:f>K18-E18</x:f>
        <x:v>0</x:v>
      </x:c>
      <x:c r="R18" s="53" t="n">
        <x:f>L18-F18</x:f>
        <x:v>0</x:v>
      </x:c>
      <x:c r="S18" s="53" t="n">
        <x:f>M18-G18</x:f>
        <x:v>0</x:v>
      </x:c>
      <x:c r="T18" t="str">
        <x:f>IF(COUNTIF(N18:S18,"&lt;&gt;0")=0,"UNCHANGED","UPDATED")</x:f>
        <x:v>UNCHANGED</x:v>
      </x:c>
      <x:c r="U18" t="str">
        <x:v>https://results.elections.bc.ca/</x:v>
      </x:c>
      <x:c r="V18" t="str">
        <x:v>https://results.elections.bc.ca/</x:v>
      </x:c>
    </x:row>
    <x:row r="19" ht="19" customHeight="1">
      <x:c r="A19" t="str">
        <x:v>Columbia River-Revelstoke</x:v>
      </x:c>
      <x:c r="B19" s="51" t="n">
        <x:v>6101</x:v>
      </x:c>
      <x:c r="C19" s="51" t="n">
        <x:v>8894</x:v>
      </x:c>
      <x:c r="D19" s="51" t="n">
        <x:v>1942</x:v>
      </x:c>
      <x:c r="E19" s="51" t="n">
        <x:v>0</x:v>
      </x:c>
      <x:c r="F19" s="51" t="n">
        <x:v>16937</x:v>
      </x:c>
      <x:c r="G19" s="51" t="n">
        <x:v>16962</x:v>
      </x:c>
      <x:c r="H19" s="52" t="n">
        <x:f>'Riding comparison'!K19</x:f>
        <x:v>6101</x:v>
      </x:c>
      <x:c r="I19" s="52" t="n">
        <x:f>'Riding comparison'!L19</x:f>
        <x:v>8894</x:v>
      </x:c>
      <x:c r="J19" s="52" t="n">
        <x:f>'Riding comparison'!M19</x:f>
        <x:v>1942</x:v>
      </x:c>
      <x:c r="K19" s="52" t="n">
        <x:f>'Riding comparison'!N19</x:f>
        <x:v>0</x:v>
      </x:c>
      <x:c r="L19" s="52" t="n">
        <x:f>'Riding comparison'!O19</x:f>
        <x:v>16937</x:v>
      </x:c>
      <x:c r="M19" s="52" t="n">
        <x:f>'Riding comparison'!P19</x:f>
        <x:v>16962</x:v>
      </x:c>
      <x:c r="N19" s="53" t="n">
        <x:f>H19-B19</x:f>
        <x:v>0</x:v>
      </x:c>
      <x:c r="O19" s="53" t="n">
        <x:f>I19-C19</x:f>
        <x:v>0</x:v>
      </x:c>
      <x:c r="P19" s="53" t="n">
        <x:f>J19-D19</x:f>
        <x:v>0</x:v>
      </x:c>
      <x:c r="Q19" s="53" t="n">
        <x:f>K19-E19</x:f>
        <x:v>0</x:v>
      </x:c>
      <x:c r="R19" s="53" t="n">
        <x:f>L19-F19</x:f>
        <x:v>0</x:v>
      </x:c>
      <x:c r="S19" s="53" t="n">
        <x:f>M19-G19</x:f>
        <x:v>0</x:v>
      </x:c>
      <x:c r="T19" t="str">
        <x:f>IF(COUNTIF(N19:S19,"&lt;&gt;0")=0,"UNCHANGED","UPDATED")</x:f>
        <x:v>UNCHANGED</x:v>
      </x:c>
      <x:c r="U19" t="str">
        <x:v>https://results.elections.bc.ca/</x:v>
      </x:c>
      <x:c r="V19" t="str">
        <x:v>https://results.elections.bc.ca/</x:v>
      </x:c>
    </x:row>
    <x:row r="20" ht="19" customHeight="1">
      <x:c r="A20" t="str">
        <x:v>Coquitlam-Burke Mountain</x:v>
      </x:c>
      <x:c r="B20" s="51" t="n">
        <x:v>7323</x:v>
      </x:c>
      <x:c r="C20" s="51" t="n">
        <x:v>9814</x:v>
      </x:c>
      <x:c r="D20" s="51" t="n">
        <x:v>1111</x:v>
      </x:c>
      <x:c r="E20" s="51" t="n">
        <x:v>409</x:v>
      </x:c>
      <x:c r="F20" s="51" t="n">
        <x:v>18657</x:v>
      </x:c>
      <x:c r="G20" s="51" t="n">
        <x:v>18687</x:v>
      </x:c>
      <x:c r="H20" s="52" t="n">
        <x:f>'Riding comparison'!K20</x:f>
        <x:v>7323</x:v>
      </x:c>
      <x:c r="I20" s="52" t="n">
        <x:f>'Riding comparison'!L20</x:f>
        <x:v>9814</x:v>
      </x:c>
      <x:c r="J20" s="52" t="n">
        <x:f>'Riding comparison'!M20</x:f>
        <x:v>1111</x:v>
      </x:c>
      <x:c r="K20" s="52" t="n">
        <x:f>'Riding comparison'!N20</x:f>
        <x:v>409</x:v>
      </x:c>
      <x:c r="L20" s="52" t="n">
        <x:f>'Riding comparison'!O20</x:f>
        <x:v>18657</x:v>
      </x:c>
      <x:c r="M20" s="52" t="n">
        <x:f>'Riding comparison'!P20</x:f>
        <x:v>18687</x:v>
      </x:c>
      <x:c r="N20" s="53" t="n">
        <x:f>H20-B20</x:f>
        <x:v>0</x:v>
      </x:c>
      <x:c r="O20" s="53" t="n">
        <x:f>I20-C20</x:f>
        <x:v>0</x:v>
      </x:c>
      <x:c r="P20" s="53" t="n">
        <x:f>J20-D20</x:f>
        <x:v>0</x:v>
      </x:c>
      <x:c r="Q20" s="53" t="n">
        <x:f>K20-E20</x:f>
        <x:v>0</x:v>
      </x:c>
      <x:c r="R20" s="53" t="n">
        <x:f>L20-F20</x:f>
        <x:v>0</x:v>
      </x:c>
      <x:c r="S20" s="53" t="n">
        <x:f>M20-G20</x:f>
        <x:v>0</x:v>
      </x:c>
      <x:c r="T20" t="str">
        <x:f>IF(COUNTIF(N20:S20,"&lt;&gt;0")=0,"UNCHANGED","UPDATED")</x:f>
        <x:v>UNCHANGED</x:v>
      </x:c>
      <x:c r="U20" t="str">
        <x:v>https://results.elections.bc.ca/</x:v>
      </x:c>
      <x:c r="V20" t="str">
        <x:v>https://results.elections.bc.ca/</x:v>
      </x:c>
    </x:row>
    <x:row r="21" ht="19" customHeight="1">
      <x:c r="A21" t="str">
        <x:v>Coquitlam-Maillardville</x:v>
      </x:c>
      <x:c r="B21" s="51" t="n">
        <x:v>8057</x:v>
      </x:c>
      <x:c r="C21" s="51" t="n">
        <x:v>9626</x:v>
      </x:c>
      <x:c r="D21" s="51" t="n">
        <x:v>1732</x:v>
      </x:c>
      <x:c r="E21" s="51" t="n">
        <x:v>0</x:v>
      </x:c>
      <x:c r="F21" s="51" t="n">
        <x:v>19415</x:v>
      </x:c>
      <x:c r="G21" s="51" t="n">
        <x:v>19451</x:v>
      </x:c>
      <x:c r="H21" s="52" t="n">
        <x:f>'Riding comparison'!K21</x:f>
        <x:v>8057</x:v>
      </x:c>
      <x:c r="I21" s="52" t="n">
        <x:f>'Riding comparison'!L21</x:f>
        <x:v>9626</x:v>
      </x:c>
      <x:c r="J21" s="52" t="n">
        <x:f>'Riding comparison'!M21</x:f>
        <x:v>1732</x:v>
      </x:c>
      <x:c r="K21" s="52" t="n">
        <x:f>'Riding comparison'!N21</x:f>
        <x:v>0</x:v>
      </x:c>
      <x:c r="L21" s="52" t="n">
        <x:f>'Riding comparison'!O21</x:f>
        <x:v>19415</x:v>
      </x:c>
      <x:c r="M21" s="52" t="n">
        <x:f>'Riding comparison'!P21</x:f>
        <x:v>19451</x:v>
      </x:c>
      <x:c r="N21" s="53" t="n">
        <x:f>H21-B21</x:f>
        <x:v>0</x:v>
      </x:c>
      <x:c r="O21" s="53" t="n">
        <x:f>I21-C21</x:f>
        <x:v>0</x:v>
      </x:c>
      <x:c r="P21" s="53" t="n">
        <x:f>J21-D21</x:f>
        <x:v>0</x:v>
      </x:c>
      <x:c r="Q21" s="53" t="n">
        <x:f>K21-E21</x:f>
        <x:v>0</x:v>
      </x:c>
      <x:c r="R21" s="53" t="n">
        <x:f>L21-F21</x:f>
        <x:v>0</x:v>
      </x:c>
      <x:c r="S21" s="53" t="n">
        <x:f>M21-G21</x:f>
        <x:v>0</x:v>
      </x:c>
      <x:c r="T21" t="str">
        <x:f>IF(COUNTIF(N21:S21,"&lt;&gt;0")=0,"UNCHANGED","UPDATED")</x:f>
        <x:v>UNCHANGED</x:v>
      </x:c>
      <x:c r="U21" t="str">
        <x:v>https://results.elections.bc.ca/</x:v>
      </x:c>
      <x:c r="V21" t="str">
        <x:v>https://results.elections.bc.ca/</x:v>
      </x:c>
    </x:row>
    <x:row r="22" ht="19" customHeight="1">
      <x:c r="A22" t="str">
        <x:v>Courtenay-Comox</x:v>
      </x:c>
      <x:c r="B22" s="51" t="n">
        <x:v>13390</x:v>
      </x:c>
      <x:c r="C22" s="51" t="n">
        <x:v>12694</x:v>
      </x:c>
      <x:c r="D22" s="51" t="n">
        <x:v>2882</x:v>
      </x:c>
      <x:c r="E22" s="51" t="n">
        <x:v>740</x:v>
      </x:c>
      <x:c r="F22" s="51" t="n">
        <x:v>29706</x:v>
      </x:c>
      <x:c r="G22" s="51" t="n">
        <x:v>29722</x:v>
      </x:c>
      <x:c r="H22" s="52" t="n">
        <x:f>'Riding comparison'!K22</x:f>
        <x:v>13390</x:v>
      </x:c>
      <x:c r="I22" s="52" t="n">
        <x:f>'Riding comparison'!L22</x:f>
        <x:v>12694</x:v>
      </x:c>
      <x:c r="J22" s="52" t="n">
        <x:f>'Riding comparison'!M22</x:f>
        <x:v>2882</x:v>
      </x:c>
      <x:c r="K22" s="52" t="n">
        <x:f>'Riding comparison'!N22</x:f>
        <x:v>740</x:v>
      </x:c>
      <x:c r="L22" s="52" t="n">
        <x:f>'Riding comparison'!O22</x:f>
        <x:v>29706</x:v>
      </x:c>
      <x:c r="M22" s="52" t="n">
        <x:f>'Riding comparison'!P22</x:f>
        <x:v>29722</x:v>
      </x:c>
      <x:c r="N22" s="53" t="n">
        <x:f>H22-B22</x:f>
        <x:v>0</x:v>
      </x:c>
      <x:c r="O22" s="53" t="n">
        <x:f>I22-C22</x:f>
        <x:v>0</x:v>
      </x:c>
      <x:c r="P22" s="53" t="n">
        <x:f>J22-D22</x:f>
        <x:v>0</x:v>
      </x:c>
      <x:c r="Q22" s="53" t="n">
        <x:f>K22-E22</x:f>
        <x:v>0</x:v>
      </x:c>
      <x:c r="R22" s="53" t="n">
        <x:f>L22-F22</x:f>
        <x:v>0</x:v>
      </x:c>
      <x:c r="S22" s="53" t="n">
        <x:f>M22-G22</x:f>
        <x:v>0</x:v>
      </x:c>
      <x:c r="T22" t="str">
        <x:f>IF(COUNTIF(N22:S22,"&lt;&gt;0")=0,"UNCHANGED","UPDATED")</x:f>
        <x:v>UNCHANGED</x:v>
      </x:c>
      <x:c r="U22" t="str">
        <x:v>https://results.elections.bc.ca/</x:v>
      </x:c>
      <x:c r="V22" t="str">
        <x:v>https://results.elections.bc.ca/</x:v>
      </x:c>
    </x:row>
    <x:row r="23" ht="19" customHeight="1">
      <x:c r="A23" t="str">
        <x:v>Cowichan Valley</x:v>
      </x:c>
      <x:c r="B23" s="51" t="n">
        <x:v>10949</x:v>
      </x:c>
      <x:c r="C23" s="51" t="n">
        <x:v>11100</x:v>
      </x:c>
      <x:c r="D23" s="51" t="n">
        <x:v>3750</x:v>
      </x:c>
      <x:c r="E23" s="51" t="n">
        <x:v>100</x:v>
      </x:c>
      <x:c r="F23" s="51" t="n">
        <x:v>25899</x:v>
      </x:c>
      <x:c r="G23" s="51" t="n">
        <x:v>25940</x:v>
      </x:c>
      <x:c r="H23" s="52" t="n">
        <x:f>'Riding comparison'!K23</x:f>
        <x:v>10949</x:v>
      </x:c>
      <x:c r="I23" s="52" t="n">
        <x:f>'Riding comparison'!L23</x:f>
        <x:v>11100</x:v>
      </x:c>
      <x:c r="J23" s="52" t="n">
        <x:f>'Riding comparison'!M23</x:f>
        <x:v>3750</x:v>
      </x:c>
      <x:c r="K23" s="52" t="n">
        <x:f>'Riding comparison'!N23</x:f>
        <x:v>100</x:v>
      </x:c>
      <x:c r="L23" s="52" t="n">
        <x:f>'Riding comparison'!O23</x:f>
        <x:v>25899</x:v>
      </x:c>
      <x:c r="M23" s="52" t="n">
        <x:f>'Riding comparison'!P23</x:f>
        <x:v>25940</x:v>
      </x:c>
      <x:c r="N23" s="53" t="n">
        <x:f>H23-B23</x:f>
        <x:v>0</x:v>
      </x:c>
      <x:c r="O23" s="53" t="n">
        <x:f>I23-C23</x:f>
        <x:v>0</x:v>
      </x:c>
      <x:c r="P23" s="53" t="n">
        <x:f>J23-D23</x:f>
        <x:v>0</x:v>
      </x:c>
      <x:c r="Q23" s="53" t="n">
        <x:f>K23-E23</x:f>
        <x:v>0</x:v>
      </x:c>
      <x:c r="R23" s="53" t="n">
        <x:f>L23-F23</x:f>
        <x:v>0</x:v>
      </x:c>
      <x:c r="S23" s="53" t="n">
        <x:f>M23-G23</x:f>
        <x:v>0</x:v>
      </x:c>
      <x:c r="T23" t="str">
        <x:f>IF(COUNTIF(N23:S23,"&lt;&gt;0")=0,"UNCHANGED","UPDATED")</x:f>
        <x:v>UNCHANGED</x:v>
      </x:c>
      <x:c r="U23" t="str">
        <x:v>https://results.elections.bc.ca/</x:v>
      </x:c>
      <x:c r="V23" t="str">
        <x:v>https://results.elections.bc.ca/</x:v>
      </x:c>
    </x:row>
    <x:row r="24" ht="19" customHeight="1">
      <x:c r="A24" t="str">
        <x:v>Delta North</x:v>
      </x:c>
      <x:c r="B24" s="51" t="n">
        <x:v>7425</x:v>
      </x:c>
      <x:c r="C24" s="51" t="n">
        <x:v>9796</x:v>
      </x:c>
      <x:c r="D24" s="51" t="n">
        <x:v>0</x:v>
      </x:c>
      <x:c r="E24" s="51" t="n">
        <x:v>1062</x:v>
      </x:c>
      <x:c r="F24" s="51" t="n">
        <x:v>18283</x:v>
      </x:c>
      <x:c r="G24" s="51" t="n">
        <x:v>18338</x:v>
      </x:c>
      <x:c r="H24" s="52" t="n">
        <x:f>'Riding comparison'!K24</x:f>
        <x:v>7425</x:v>
      </x:c>
      <x:c r="I24" s="52" t="n">
        <x:f>'Riding comparison'!L24</x:f>
        <x:v>9796</x:v>
      </x:c>
      <x:c r="J24" s="52" t="n">
        <x:f>'Riding comparison'!M24</x:f>
        <x:v>0</x:v>
      </x:c>
      <x:c r="K24" s="52" t="n">
        <x:f>'Riding comparison'!N24</x:f>
        <x:v>1062</x:v>
      </x:c>
      <x:c r="L24" s="52" t="n">
        <x:f>'Riding comparison'!O24</x:f>
        <x:v>18283</x:v>
      </x:c>
      <x:c r="M24" s="52" t="n">
        <x:f>'Riding comparison'!P24</x:f>
        <x:v>18338</x:v>
      </x:c>
      <x:c r="N24" s="53" t="n">
        <x:f>H24-B24</x:f>
        <x:v>0</x:v>
      </x:c>
      <x:c r="O24" s="53" t="n">
        <x:f>I24-C24</x:f>
        <x:v>0</x:v>
      </x:c>
      <x:c r="P24" s="53" t="n">
        <x:f>J24-D24</x:f>
        <x:v>0</x:v>
      </x:c>
      <x:c r="Q24" s="53" t="n">
        <x:f>K24-E24</x:f>
        <x:v>0</x:v>
      </x:c>
      <x:c r="R24" s="53" t="n">
        <x:f>L24-F24</x:f>
        <x:v>0</x:v>
      </x:c>
      <x:c r="S24" s="53" t="n">
        <x:f>M24-G24</x:f>
        <x:v>0</x:v>
      </x:c>
      <x:c r="T24" t="str">
        <x:f>IF(COUNTIF(N24:S24,"&lt;&gt;0")=0,"UNCHANGED","UPDATED")</x:f>
        <x:v>UNCHANGED</x:v>
      </x:c>
      <x:c r="U24" t="str">
        <x:v>https://results.elections.bc.ca/</x:v>
      </x:c>
      <x:c r="V24" t="str">
        <x:v>https://results.elections.bc.ca/</x:v>
      </x:c>
    </x:row>
    <x:row r="25" ht="19" customHeight="1">
      <x:c r="A25" t="str">
        <x:v>Delta South</x:v>
      </x:c>
      <x:c r="B25" s="51" t="n">
        <x:v>6918</x:v>
      </x:c>
      <x:c r="C25" s="51" t="n">
        <x:v>14473</x:v>
      </x:c>
      <x:c r="D25" s="51" t="n">
        <x:v>1988</x:v>
      </x:c>
      <x:c r="E25" s="51" t="n">
        <x:v>799</x:v>
      </x:c>
      <x:c r="F25" s="51" t="n">
        <x:v>24178</x:v>
      </x:c>
      <x:c r="G25" s="51" t="n">
        <x:v>24209</x:v>
      </x:c>
      <x:c r="H25" s="52" t="n">
        <x:f>'Riding comparison'!K25</x:f>
        <x:v>6918</x:v>
      </x:c>
      <x:c r="I25" s="52" t="n">
        <x:f>'Riding comparison'!L25</x:f>
        <x:v>14473</x:v>
      </x:c>
      <x:c r="J25" s="52" t="n">
        <x:f>'Riding comparison'!M25</x:f>
        <x:v>1988</x:v>
      </x:c>
      <x:c r="K25" s="52" t="n">
        <x:f>'Riding comparison'!N25</x:f>
        <x:v>799</x:v>
      </x:c>
      <x:c r="L25" s="52" t="n">
        <x:f>'Riding comparison'!O25</x:f>
        <x:v>24178</x:v>
      </x:c>
      <x:c r="M25" s="52" t="n">
        <x:f>'Riding comparison'!P25</x:f>
        <x:v>24209</x:v>
      </x:c>
      <x:c r="N25" s="53" t="n">
        <x:f>H25-B25</x:f>
        <x:v>0</x:v>
      </x:c>
      <x:c r="O25" s="53" t="n">
        <x:f>I25-C25</x:f>
        <x:v>0</x:v>
      </x:c>
      <x:c r="P25" s="53" t="n">
        <x:f>J25-D25</x:f>
        <x:v>0</x:v>
      </x:c>
      <x:c r="Q25" s="53" t="n">
        <x:f>K25-E25</x:f>
        <x:v>0</x:v>
      </x:c>
      <x:c r="R25" s="53" t="n">
        <x:f>L25-F25</x:f>
        <x:v>0</x:v>
      </x:c>
      <x:c r="S25" s="53" t="n">
        <x:f>M25-G25</x:f>
        <x:v>0</x:v>
      </x:c>
      <x:c r="T25" t="str">
        <x:f>IF(COUNTIF(N25:S25,"&lt;&gt;0")=0,"UNCHANGED","UPDATED")</x:f>
        <x:v>UNCHANGED</x:v>
      </x:c>
      <x:c r="U25" t="str">
        <x:v>https://results.elections.bc.ca/</x:v>
      </x:c>
      <x:c r="V25" t="str">
        <x:v>https://results.elections.bc.ca/</x:v>
      </x:c>
    </x:row>
    <x:row r="26" ht="19" customHeight="1">
      <x:c r="A26" t="str">
        <x:v>Esquimalt-Colwood</x:v>
      </x:c>
      <x:c r="B26" s="51" t="n">
        <x:v>10955</x:v>
      </x:c>
      <x:c r="C26" s="51" t="n">
        <x:v>7391</x:v>
      </x:c>
      <x:c r="D26" s="51" t="n">
        <x:v>5766</x:v>
      </x:c>
      <x:c r="E26" s="51" t="n">
        <x:v>1216</x:v>
      </x:c>
      <x:c r="F26" s="51" t="n">
        <x:v>25328</x:v>
      </x:c>
      <x:c r="G26" s="51" t="n">
        <x:v>25359</x:v>
      </x:c>
      <x:c r="H26" s="52" t="n">
        <x:f>'Riding comparison'!K26</x:f>
        <x:v>10955</x:v>
      </x:c>
      <x:c r="I26" s="52" t="n">
        <x:f>'Riding comparison'!L26</x:f>
        <x:v>7391</x:v>
      </x:c>
      <x:c r="J26" s="52" t="n">
        <x:f>'Riding comparison'!M26</x:f>
        <x:v>5766</x:v>
      </x:c>
      <x:c r="K26" s="52" t="n">
        <x:f>'Riding comparison'!N26</x:f>
        <x:v>1216</x:v>
      </x:c>
      <x:c r="L26" s="52" t="n">
        <x:f>'Riding comparison'!O26</x:f>
        <x:v>25328</x:v>
      </x:c>
      <x:c r="M26" s="52" t="n">
        <x:f>'Riding comparison'!P26</x:f>
        <x:v>25359</x:v>
      </x:c>
      <x:c r="N26" s="53" t="n">
        <x:f>H26-B26</x:f>
        <x:v>0</x:v>
      </x:c>
      <x:c r="O26" s="53" t="n">
        <x:f>I26-C26</x:f>
        <x:v>0</x:v>
      </x:c>
      <x:c r="P26" s="53" t="n">
        <x:f>J26-D26</x:f>
        <x:v>0</x:v>
      </x:c>
      <x:c r="Q26" s="53" t="n">
        <x:f>K26-E26</x:f>
        <x:v>0</x:v>
      </x:c>
      <x:c r="R26" s="53" t="n">
        <x:f>L26-F26</x:f>
        <x:v>0</x:v>
      </x:c>
      <x:c r="S26" s="53" t="n">
        <x:f>M26-G26</x:f>
        <x:v>0</x:v>
      </x:c>
      <x:c r="T26" t="str">
        <x:f>IF(COUNTIF(N26:S26,"&lt;&gt;0")=0,"UNCHANGED","UPDATED")</x:f>
        <x:v>UNCHANGED</x:v>
      </x:c>
      <x:c r="U26" t="str">
        <x:v>https://results.elections.bc.ca/</x:v>
      </x:c>
      <x:c r="V26" t="str">
        <x:v>https://results.elections.bc.ca/</x:v>
      </x:c>
    </x:row>
    <x:row r="27" ht="19" customHeight="1">
      <x:c r="A27" t="str">
        <x:v>Fraser-Nicola</x:v>
      </x:c>
      <x:c r="B27" s="51" t="n">
        <x:v>4744</x:v>
      </x:c>
      <x:c r="C27" s="51" t="n">
        <x:v>9762</x:v>
      </x:c>
      <x:c r="D27" s="51" t="n">
        <x:v>2190</x:v>
      </x:c>
      <x:c r="E27" s="51" t="n">
        <x:v>0</x:v>
      </x:c>
      <x:c r="F27" s="51" t="n">
        <x:v>16696</x:v>
      </x:c>
      <x:c r="G27" s="51" t="n">
        <x:v>16730</x:v>
      </x:c>
      <x:c r="H27" s="52" t="n">
        <x:f>'Riding comparison'!K27</x:f>
        <x:v>4744</x:v>
      </x:c>
      <x:c r="I27" s="52" t="n">
        <x:f>'Riding comparison'!L27</x:f>
        <x:v>9762</x:v>
      </x:c>
      <x:c r="J27" s="52" t="n">
        <x:f>'Riding comparison'!M27</x:f>
        <x:v>2190</x:v>
      </x:c>
      <x:c r="K27" s="52" t="n">
        <x:f>'Riding comparison'!N27</x:f>
        <x:v>0</x:v>
      </x:c>
      <x:c r="L27" s="52" t="n">
        <x:f>'Riding comparison'!O27</x:f>
        <x:v>16696</x:v>
      </x:c>
      <x:c r="M27" s="52" t="n">
        <x:f>'Riding comparison'!P27</x:f>
        <x:v>16730</x:v>
      </x:c>
      <x:c r="N27" s="53" t="n">
        <x:f>H27-B27</x:f>
        <x:v>0</x:v>
      </x:c>
      <x:c r="O27" s="53" t="n">
        <x:f>I27-C27</x:f>
        <x:v>0</x:v>
      </x:c>
      <x:c r="P27" s="53" t="n">
        <x:f>J27-D27</x:f>
        <x:v>0</x:v>
      </x:c>
      <x:c r="Q27" s="53" t="n">
        <x:f>K27-E27</x:f>
        <x:v>0</x:v>
      </x:c>
      <x:c r="R27" s="53" t="n">
        <x:f>L27-F27</x:f>
        <x:v>0</x:v>
      </x:c>
      <x:c r="S27" s="53" t="n">
        <x:f>M27-G27</x:f>
        <x:v>0</x:v>
      </x:c>
      <x:c r="T27" t="str">
        <x:f>IF(COUNTIF(N27:S27,"&lt;&gt;0")=0,"UNCHANGED","UPDATED")</x:f>
        <x:v>UNCHANGED</x:v>
      </x:c>
      <x:c r="U27" t="str">
        <x:v>https://results.elections.bc.ca/</x:v>
      </x:c>
      <x:c r="V27" t="str">
        <x:v>https://results.elections.bc.ca/</x:v>
      </x:c>
    </x:row>
    <x:row r="28" ht="19" customHeight="1">
      <x:c r="A28" t="str">
        <x:v>Juan de Fuca-Malahat</x:v>
      </x:c>
      <x:c r="B28" s="51" t="n">
        <x:v>8478</x:v>
      </x:c>
      <x:c r="C28" s="51" t="n">
        <x:v>9246</x:v>
      </x:c>
      <x:c r="D28" s="51" t="n">
        <x:v>3880</x:v>
      </x:c>
      <x:c r="E28" s="51" t="n">
        <x:v>613</x:v>
      </x:c>
      <x:c r="F28" s="51" t="n">
        <x:v>22217</x:v>
      </x:c>
      <x:c r="G28" s="51" t="n">
        <x:v>22236</x:v>
      </x:c>
      <x:c r="H28" s="52" t="n">
        <x:f>'Riding comparison'!K28</x:f>
        <x:v>8478</x:v>
      </x:c>
      <x:c r="I28" s="52" t="n">
        <x:f>'Riding comparison'!L28</x:f>
        <x:v>9246</x:v>
      </x:c>
      <x:c r="J28" s="52" t="n">
        <x:f>'Riding comparison'!M28</x:f>
        <x:v>3880</x:v>
      </x:c>
      <x:c r="K28" s="52" t="n">
        <x:f>'Riding comparison'!N28</x:f>
        <x:v>613</x:v>
      </x:c>
      <x:c r="L28" s="52" t="n">
        <x:f>'Riding comparison'!O28</x:f>
        <x:v>22217</x:v>
      </x:c>
      <x:c r="M28" s="52" t="n">
        <x:f>'Riding comparison'!P28</x:f>
        <x:v>22236</x:v>
      </x:c>
      <x:c r="N28" s="53" t="n">
        <x:f>H28-B28</x:f>
        <x:v>0</x:v>
      </x:c>
      <x:c r="O28" s="53" t="n">
        <x:f>I28-C28</x:f>
        <x:v>0</x:v>
      </x:c>
      <x:c r="P28" s="53" t="n">
        <x:f>J28-D28</x:f>
        <x:v>0</x:v>
      </x:c>
      <x:c r="Q28" s="53" t="n">
        <x:f>K28-E28</x:f>
        <x:v>0</x:v>
      </x:c>
      <x:c r="R28" s="53" t="n">
        <x:f>L28-F28</x:f>
        <x:v>0</x:v>
      </x:c>
      <x:c r="S28" s="53" t="n">
        <x:f>M28-G28</x:f>
        <x:v>0</x:v>
      </x:c>
      <x:c r="T28" t="str">
        <x:f>IF(COUNTIF(N28:S28,"&lt;&gt;0")=0,"UNCHANGED","UPDATED")</x:f>
        <x:v>UNCHANGED</x:v>
      </x:c>
      <x:c r="U28" t="str">
        <x:v>https://results.elections.bc.ca/</x:v>
      </x:c>
      <x:c r="V28" t="str">
        <x:v>https://results.elections.bc.ca/</x:v>
      </x:c>
    </x:row>
    <x:row r="29" ht="19" customHeight="1">
      <x:c r="A29" t="str">
        <x:v>Kamloops Centre</x:v>
      </x:c>
      <x:c r="B29" s="51" t="n">
        <x:v>6751</x:v>
      </x:c>
      <x:c r="C29" s="51" t="n">
        <x:v>11770</x:v>
      </x:c>
      <x:c r="D29" s="51" t="n">
        <x:v>2482</x:v>
      </x:c>
      <x:c r="E29" s="51" t="n">
        <x:v>1060</x:v>
      </x:c>
      <x:c r="F29" s="51" t="n">
        <x:v>22063</x:v>
      </x:c>
      <x:c r="G29" s="51" t="n">
        <x:v>22085</x:v>
      </x:c>
      <x:c r="H29" s="52" t="n">
        <x:f>'Riding comparison'!K29</x:f>
        <x:v>6751</x:v>
      </x:c>
      <x:c r="I29" s="52" t="n">
        <x:f>'Riding comparison'!L29</x:f>
        <x:v>11770</x:v>
      </x:c>
      <x:c r="J29" s="52" t="n">
        <x:f>'Riding comparison'!M29</x:f>
        <x:v>2482</x:v>
      </x:c>
      <x:c r="K29" s="52" t="n">
        <x:f>'Riding comparison'!N29</x:f>
        <x:v>1060</x:v>
      </x:c>
      <x:c r="L29" s="52" t="n">
        <x:f>'Riding comparison'!O29</x:f>
        <x:v>22063</x:v>
      </x:c>
      <x:c r="M29" s="52" t="n">
        <x:f>'Riding comparison'!P29</x:f>
        <x:v>22085</x:v>
      </x:c>
      <x:c r="N29" s="53" t="n">
        <x:f>H29-B29</x:f>
        <x:v>0</x:v>
      </x:c>
      <x:c r="O29" s="53" t="n">
        <x:f>I29-C29</x:f>
        <x:v>0</x:v>
      </x:c>
      <x:c r="P29" s="53" t="n">
        <x:f>J29-D29</x:f>
        <x:v>0</x:v>
      </x:c>
      <x:c r="Q29" s="53" t="n">
        <x:f>K29-E29</x:f>
        <x:v>0</x:v>
      </x:c>
      <x:c r="R29" s="53" t="n">
        <x:f>L29-F29</x:f>
        <x:v>0</x:v>
      </x:c>
      <x:c r="S29" s="53" t="n">
        <x:f>M29-G29</x:f>
        <x:v>0</x:v>
      </x:c>
      <x:c r="T29" t="str">
        <x:f>IF(COUNTIF(N29:S29,"&lt;&gt;0")=0,"UNCHANGED","UPDATED")</x:f>
        <x:v>UNCHANGED</x:v>
      </x:c>
      <x:c r="U29" t="str">
        <x:v>https://results.elections.bc.ca/</x:v>
      </x:c>
      <x:c r="V29" t="str">
        <x:v>https://results.elections.bc.ca/</x:v>
      </x:c>
    </x:row>
    <x:row r="30" ht="19" customHeight="1">
      <x:c r="A30" t="str">
        <x:v>Kamloops-North Thompson</x:v>
      </x:c>
      <x:c r="B30" s="51" t="n">
        <x:v>7617</x:v>
      </x:c>
      <x:c r="C30" s="51" t="n">
        <x:v>17232</x:v>
      </x:c>
      <x:c r="D30" s="51" t="n">
        <x:v>0</x:v>
      </x:c>
      <x:c r="E30" s="51" t="n">
        <x:v>1670</x:v>
      </x:c>
      <x:c r="F30" s="51" t="n">
        <x:v>26519</x:v>
      </x:c>
      <x:c r="G30" s="51" t="n">
        <x:v>26602</x:v>
      </x:c>
      <x:c r="H30" s="52" t="n">
        <x:f>'Riding comparison'!K30</x:f>
        <x:v>7617</x:v>
      </x:c>
      <x:c r="I30" s="52" t="n">
        <x:f>'Riding comparison'!L30</x:f>
        <x:v>17232</x:v>
      </x:c>
      <x:c r="J30" s="52" t="n">
        <x:f>'Riding comparison'!M30</x:f>
        <x:v>0</x:v>
      </x:c>
      <x:c r="K30" s="52" t="n">
        <x:f>'Riding comparison'!N30</x:f>
        <x:v>1670</x:v>
      </x:c>
      <x:c r="L30" s="52" t="n">
        <x:f>'Riding comparison'!O30</x:f>
        <x:v>26519</x:v>
      </x:c>
      <x:c r="M30" s="52" t="n">
        <x:f>'Riding comparison'!P30</x:f>
        <x:v>26602</x:v>
      </x:c>
      <x:c r="N30" s="53" t="n">
        <x:f>H30-B30</x:f>
        <x:v>0</x:v>
      </x:c>
      <x:c r="O30" s="53" t="n">
        <x:f>I30-C30</x:f>
        <x:v>0</x:v>
      </x:c>
      <x:c r="P30" s="53" t="n">
        <x:f>J30-D30</x:f>
        <x:v>0</x:v>
      </x:c>
      <x:c r="Q30" s="53" t="n">
        <x:f>K30-E30</x:f>
        <x:v>0</x:v>
      </x:c>
      <x:c r="R30" s="53" t="n">
        <x:f>L30-F30</x:f>
        <x:v>0</x:v>
      </x:c>
      <x:c r="S30" s="53" t="n">
        <x:f>M30-G30</x:f>
        <x:v>0</x:v>
      </x:c>
      <x:c r="T30" t="str">
        <x:f>IF(COUNTIF(N30:S30,"&lt;&gt;0")=0,"UNCHANGED","UPDATED")</x:f>
        <x:v>UNCHANGED</x:v>
      </x:c>
      <x:c r="U30" t="str">
        <x:v>https://results.elections.bc.ca/</x:v>
      </x:c>
      <x:c r="V30" t="str">
        <x:v>https://results.elections.bc.ca/</x:v>
      </x:c>
    </x:row>
    <x:row r="31" ht="19" customHeight="1">
      <x:c r="A31" t="str">
        <x:v>Kelowna Centre</x:v>
      </x:c>
      <x:c r="B31" s="51" t="n">
        <x:v>10659</x:v>
      </x:c>
      <x:c r="C31" s="51" t="n">
        <x:v>10791</x:v>
      </x:c>
      <x:c r="D31" s="51" t="n">
        <x:v>0</x:v>
      </x:c>
      <x:c r="E31" s="51" t="n">
        <x:v>873</x:v>
      </x:c>
      <x:c r="F31" s="51" t="n">
        <x:v>22323</x:v>
      </x:c>
      <x:c r="G31" s="51" t="n">
        <x:v>22379</x:v>
      </x:c>
      <x:c r="H31" s="52" t="n">
        <x:f>'Riding comparison'!K31</x:f>
        <x:v>10659</x:v>
      </x:c>
      <x:c r="I31" s="52" t="n">
        <x:f>'Riding comparison'!L31</x:f>
        <x:v>10791</x:v>
      </x:c>
      <x:c r="J31" s="52" t="n">
        <x:f>'Riding comparison'!M31</x:f>
        <x:v>0</x:v>
      </x:c>
      <x:c r="K31" s="52" t="n">
        <x:f>'Riding comparison'!N31</x:f>
        <x:v>873</x:v>
      </x:c>
      <x:c r="L31" s="52" t="n">
        <x:f>'Riding comparison'!O31</x:f>
        <x:v>22323</x:v>
      </x:c>
      <x:c r="M31" s="52" t="n">
        <x:f>'Riding comparison'!P31</x:f>
        <x:v>22379</x:v>
      </x:c>
      <x:c r="N31" s="53" t="n">
        <x:f>H31-B31</x:f>
        <x:v>0</x:v>
      </x:c>
      <x:c r="O31" s="53" t="n">
        <x:f>I31-C31</x:f>
        <x:v>0</x:v>
      </x:c>
      <x:c r="P31" s="53" t="n">
        <x:f>J31-D31</x:f>
        <x:v>0</x:v>
      </x:c>
      <x:c r="Q31" s="53" t="n">
        <x:f>K31-E31</x:f>
        <x:v>0</x:v>
      </x:c>
      <x:c r="R31" s="53" t="n">
        <x:f>L31-F31</x:f>
        <x:v>0</x:v>
      </x:c>
      <x:c r="S31" s="53" t="n">
        <x:f>M31-G31</x:f>
        <x:v>0</x:v>
      </x:c>
      <x:c r="T31" t="str">
        <x:f>IF(COUNTIF(N31:S31,"&lt;&gt;0")=0,"UNCHANGED","UPDATED")</x:f>
        <x:v>UNCHANGED</x:v>
      </x:c>
      <x:c r="U31" t="str">
        <x:v>https://results.elections.bc.ca/</x:v>
      </x:c>
      <x:c r="V31" t="str">
        <x:v>https://results.elections.bc.ca/</x:v>
      </x:c>
    </x:row>
    <x:row r="32" ht="19" customHeight="1">
      <x:c r="A32" t="str">
        <x:v>Kelowna-Lake Country-Coldstream</x:v>
      </x:c>
      <x:c r="B32" s="51" t="n">
        <x:v>7255</x:v>
      </x:c>
      <x:c r="C32" s="51" t="n">
        <x:v>10637</x:v>
      </x:c>
      <x:c r="D32" s="51" t="n">
        <x:v>1823</x:v>
      </x:c>
      <x:c r="E32" s="51" t="n">
        <x:v>2532</x:v>
      </x:c>
      <x:c r="F32" s="51" t="n">
        <x:v>22247</x:v>
      </x:c>
      <x:c r="G32" s="51" t="n">
        <x:v>22289</x:v>
      </x:c>
      <x:c r="H32" s="52" t="n">
        <x:f>'Riding comparison'!K32</x:f>
        <x:v>7255</x:v>
      </x:c>
      <x:c r="I32" s="52" t="n">
        <x:f>'Riding comparison'!L32</x:f>
        <x:v>10637</x:v>
      </x:c>
      <x:c r="J32" s="52" t="n">
        <x:f>'Riding comparison'!M32</x:f>
        <x:v>1823</x:v>
      </x:c>
      <x:c r="K32" s="52" t="n">
        <x:f>'Riding comparison'!N32</x:f>
        <x:v>2532</x:v>
      </x:c>
      <x:c r="L32" s="52" t="n">
        <x:f>'Riding comparison'!O32</x:f>
        <x:v>22247</x:v>
      </x:c>
      <x:c r="M32" s="52" t="n">
        <x:f>'Riding comparison'!P32</x:f>
        <x:v>22289</x:v>
      </x:c>
      <x:c r="N32" s="53" t="n">
        <x:f>H32-B32</x:f>
        <x:v>0</x:v>
      </x:c>
      <x:c r="O32" s="53" t="n">
        <x:f>I32-C32</x:f>
        <x:v>0</x:v>
      </x:c>
      <x:c r="P32" s="53" t="n">
        <x:f>J32-D32</x:f>
        <x:v>0</x:v>
      </x:c>
      <x:c r="Q32" s="53" t="n">
        <x:f>K32-E32</x:f>
        <x:v>0</x:v>
      </x:c>
      <x:c r="R32" s="53" t="n">
        <x:f>L32-F32</x:f>
        <x:v>0</x:v>
      </x:c>
      <x:c r="S32" s="53" t="n">
        <x:f>M32-G32</x:f>
        <x:v>0</x:v>
      </x:c>
      <x:c r="T32" t="str">
        <x:f>IF(COUNTIF(N32:S32,"&lt;&gt;0")=0,"UNCHANGED","UPDATED")</x:f>
        <x:v>UNCHANGED</x:v>
      </x:c>
      <x:c r="U32" t="str">
        <x:v>https://results.elections.bc.ca/</x:v>
      </x:c>
      <x:c r="V32" t="str">
        <x:v>https://results.elections.bc.ca/</x:v>
      </x:c>
    </x:row>
    <x:row r="33" ht="19" customHeight="1">
      <x:c r="A33" t="str">
        <x:v>Kelowna-Mission</x:v>
      </x:c>
      <x:c r="B33" s="51" t="n">
        <x:v>6427</x:v>
      </x:c>
      <x:c r="C33" s="51" t="n">
        <x:v>13590</x:v>
      </x:c>
      <x:c r="D33" s="51" t="n">
        <x:v>2354</x:v>
      </x:c>
      <x:c r="E33" s="51" t="n">
        <x:v>757</x:v>
      </x:c>
      <x:c r="F33" s="51" t="n">
        <x:v>23128</x:v>
      </x:c>
      <x:c r="G33" s="51" t="n">
        <x:v>23159</x:v>
      </x:c>
      <x:c r="H33" s="52" t="n">
        <x:f>'Riding comparison'!K33</x:f>
        <x:v>6427</x:v>
      </x:c>
      <x:c r="I33" s="52" t="n">
        <x:f>'Riding comparison'!L33</x:f>
        <x:v>13590</x:v>
      </x:c>
      <x:c r="J33" s="52" t="n">
        <x:f>'Riding comparison'!M33</x:f>
        <x:v>2354</x:v>
      </x:c>
      <x:c r="K33" s="52" t="n">
        <x:f>'Riding comparison'!N33</x:f>
        <x:v>757</x:v>
      </x:c>
      <x:c r="L33" s="52" t="n">
        <x:f>'Riding comparison'!O33</x:f>
        <x:v>23128</x:v>
      </x:c>
      <x:c r="M33" s="52" t="n">
        <x:f>'Riding comparison'!P33</x:f>
        <x:v>23159</x:v>
      </x:c>
      <x:c r="N33" s="53" t="n">
        <x:f>H33-B33</x:f>
        <x:v>0</x:v>
      </x:c>
      <x:c r="O33" s="53" t="n">
        <x:f>I33-C33</x:f>
        <x:v>0</x:v>
      </x:c>
      <x:c r="P33" s="53" t="n">
        <x:f>J33-D33</x:f>
        <x:v>0</x:v>
      </x:c>
      <x:c r="Q33" s="53" t="n">
        <x:f>K33-E33</x:f>
        <x:v>0</x:v>
      </x:c>
      <x:c r="R33" s="53" t="n">
        <x:f>L33-F33</x:f>
        <x:v>0</x:v>
      </x:c>
      <x:c r="S33" s="53" t="n">
        <x:f>M33-G33</x:f>
        <x:v>0</x:v>
      </x:c>
      <x:c r="T33" t="str">
        <x:f>IF(COUNTIF(N33:S33,"&lt;&gt;0")=0,"UNCHANGED","UPDATED")</x:f>
        <x:v>UNCHANGED</x:v>
      </x:c>
      <x:c r="U33" t="str">
        <x:v>https://results.elections.bc.ca/</x:v>
      </x:c>
      <x:c r="V33" t="str">
        <x:v>https://results.elections.bc.ca/</x:v>
      </x:c>
    </x:row>
    <x:row r="34" ht="19" customHeight="1">
      <x:c r="A34" t="str">
        <x:v>Kootenay Central</x:v>
      </x:c>
      <x:c r="B34" s="51" t="n">
        <x:v>7618</x:v>
      </x:c>
      <x:c r="C34" s="51" t="n">
        <x:v>7151</x:v>
      </x:c>
      <x:c r="D34" s="51" t="n">
        <x:v>3779</x:v>
      </x:c>
      <x:c r="E34" s="51" t="n">
        <x:v>730</x:v>
      </x:c>
      <x:c r="F34" s="51" t="n">
        <x:v>19278</x:v>
      </x:c>
      <x:c r="G34" s="51" t="n">
        <x:v>19327</x:v>
      </x:c>
      <x:c r="H34" s="52" t="n">
        <x:f>'Riding comparison'!K34</x:f>
        <x:v>7618</x:v>
      </x:c>
      <x:c r="I34" s="52" t="n">
        <x:f>'Riding comparison'!L34</x:f>
        <x:v>7151</x:v>
      </x:c>
      <x:c r="J34" s="52" t="n">
        <x:f>'Riding comparison'!M34</x:f>
        <x:v>3779</x:v>
      </x:c>
      <x:c r="K34" s="52" t="n">
        <x:f>'Riding comparison'!N34</x:f>
        <x:v>730</x:v>
      </x:c>
      <x:c r="L34" s="52" t="n">
        <x:f>'Riding comparison'!O34</x:f>
        <x:v>19278</x:v>
      </x:c>
      <x:c r="M34" s="52" t="n">
        <x:f>'Riding comparison'!P34</x:f>
        <x:v>19327</x:v>
      </x:c>
      <x:c r="N34" s="53" t="n">
        <x:f>H34-B34</x:f>
        <x:v>0</x:v>
      </x:c>
      <x:c r="O34" s="53" t="n">
        <x:f>I34-C34</x:f>
        <x:v>0</x:v>
      </x:c>
      <x:c r="P34" s="53" t="n">
        <x:f>J34-D34</x:f>
        <x:v>0</x:v>
      </x:c>
      <x:c r="Q34" s="53" t="n">
        <x:f>K34-E34</x:f>
        <x:v>0</x:v>
      </x:c>
      <x:c r="R34" s="53" t="n">
        <x:f>L34-F34</x:f>
        <x:v>0</x:v>
      </x:c>
      <x:c r="S34" s="53" t="n">
        <x:f>M34-G34</x:f>
        <x:v>0</x:v>
      </x:c>
      <x:c r="T34" t="str">
        <x:f>IF(COUNTIF(N34:S34,"&lt;&gt;0")=0,"UNCHANGED","UPDATED")</x:f>
        <x:v>UNCHANGED</x:v>
      </x:c>
      <x:c r="U34" t="str">
        <x:v>https://results.elections.bc.ca/</x:v>
      </x:c>
      <x:c r="V34" t="str">
        <x:v>https://results.elections.bc.ca/</x:v>
      </x:c>
    </x:row>
    <x:row r="35" ht="19" customHeight="1">
      <x:c r="A35" t="str">
        <x:v>Kootenay-Monashee</x:v>
      </x:c>
      <x:c r="B35" s="51" t="n">
        <x:v>8526</x:v>
      </x:c>
      <x:c r="C35" s="51" t="n">
        <x:v>6632</x:v>
      </x:c>
      <x:c r="D35" s="51" t="n">
        <x:v>1822</x:v>
      </x:c>
      <x:c r="E35" s="51" t="n">
        <x:v>771</x:v>
      </x:c>
      <x:c r="F35" s="51" t="n">
        <x:v>17751</x:v>
      </x:c>
      <x:c r="G35" s="51" t="n">
        <x:v>17774</x:v>
      </x:c>
      <x:c r="H35" s="52" t="n">
        <x:f>'Riding comparison'!K35</x:f>
        <x:v>8526</x:v>
      </x:c>
      <x:c r="I35" s="52" t="n">
        <x:f>'Riding comparison'!L35</x:f>
        <x:v>6632</x:v>
      </x:c>
      <x:c r="J35" s="52" t="n">
        <x:f>'Riding comparison'!M35</x:f>
        <x:v>1822</x:v>
      </x:c>
      <x:c r="K35" s="52" t="n">
        <x:f>'Riding comparison'!N35</x:f>
        <x:v>771</x:v>
      </x:c>
      <x:c r="L35" s="52" t="n">
        <x:f>'Riding comparison'!O35</x:f>
        <x:v>17751</x:v>
      </x:c>
      <x:c r="M35" s="52" t="n">
        <x:f>'Riding comparison'!P35</x:f>
        <x:v>17774</x:v>
      </x:c>
      <x:c r="N35" s="53" t="n">
        <x:f>H35-B35</x:f>
        <x:v>0</x:v>
      </x:c>
      <x:c r="O35" s="53" t="n">
        <x:f>I35-C35</x:f>
        <x:v>0</x:v>
      </x:c>
      <x:c r="P35" s="53" t="n">
        <x:f>J35-D35</x:f>
        <x:v>0</x:v>
      </x:c>
      <x:c r="Q35" s="53" t="n">
        <x:f>K35-E35</x:f>
        <x:v>0</x:v>
      </x:c>
      <x:c r="R35" s="53" t="n">
        <x:f>L35-F35</x:f>
        <x:v>0</x:v>
      </x:c>
      <x:c r="S35" s="53" t="n">
        <x:f>M35-G35</x:f>
        <x:v>0</x:v>
      </x:c>
      <x:c r="T35" t="str">
        <x:f>IF(COUNTIF(N35:S35,"&lt;&gt;0")=0,"UNCHANGED","UPDATED")</x:f>
        <x:v>UNCHANGED</x:v>
      </x:c>
      <x:c r="U35" t="str">
        <x:v>https://results.elections.bc.ca/</x:v>
      </x:c>
      <x:c r="V35" t="str">
        <x:v>https://results.elections.bc.ca/</x:v>
      </x:c>
    </x:row>
    <x:row r="36" ht="19" customHeight="1">
      <x:c r="A36" t="str">
        <x:v>Kootenay-Rockies</x:v>
      </x:c>
      <x:c r="B36" s="51" t="n">
        <x:v>4404</x:v>
      </x:c>
      <x:c r="C36" s="51" t="n">
        <x:v>9130</x:v>
      </x:c>
      <x:c r="D36" s="51" t="n">
        <x:v>1165</x:v>
      </x:c>
      <x:c r="E36" s="51" t="n">
        <x:v>1513</x:v>
      </x:c>
      <x:c r="F36" s="51" t="n">
        <x:v>16212</x:v>
      </x:c>
      <x:c r="G36" s="51" t="n">
        <x:v>16239</x:v>
      </x:c>
      <x:c r="H36" s="52" t="n">
        <x:f>'Riding comparison'!K36</x:f>
        <x:v>4404</x:v>
      </x:c>
      <x:c r="I36" s="52" t="n">
        <x:f>'Riding comparison'!L36</x:f>
        <x:v>9130</x:v>
      </x:c>
      <x:c r="J36" s="52" t="n">
        <x:f>'Riding comparison'!M36</x:f>
        <x:v>1165</x:v>
      </x:c>
      <x:c r="K36" s="52" t="n">
        <x:f>'Riding comparison'!N36</x:f>
        <x:v>1513</x:v>
      </x:c>
      <x:c r="L36" s="52" t="n">
        <x:f>'Riding comparison'!O36</x:f>
        <x:v>16212</x:v>
      </x:c>
      <x:c r="M36" s="52" t="n">
        <x:f>'Riding comparison'!P36</x:f>
        <x:v>16239</x:v>
      </x:c>
      <x:c r="N36" s="53" t="n">
        <x:f>H36-B36</x:f>
        <x:v>0</x:v>
      </x:c>
      <x:c r="O36" s="53" t="n">
        <x:f>I36-C36</x:f>
        <x:v>0</x:v>
      </x:c>
      <x:c r="P36" s="53" t="n">
        <x:f>J36-D36</x:f>
        <x:v>0</x:v>
      </x:c>
      <x:c r="Q36" s="53" t="n">
        <x:f>K36-E36</x:f>
        <x:v>0</x:v>
      </x:c>
      <x:c r="R36" s="53" t="n">
        <x:f>L36-F36</x:f>
        <x:v>0</x:v>
      </x:c>
      <x:c r="S36" s="53" t="n">
        <x:f>M36-G36</x:f>
        <x:v>0</x:v>
      </x:c>
      <x:c r="T36" t="str">
        <x:f>IF(COUNTIF(N36:S36,"&lt;&gt;0")=0,"UNCHANGED","UPDATED")</x:f>
        <x:v>UNCHANGED</x:v>
      </x:c>
      <x:c r="U36" t="str">
        <x:v>https://results.elections.bc.ca/</x:v>
      </x:c>
      <x:c r="V36" t="str">
        <x:v>https://results.elections.bc.ca/</x:v>
      </x:c>
    </x:row>
    <x:row r="37" ht="19" customHeight="1">
      <x:c r="A37" t="str">
        <x:v>Ladysmith-Oceanside</x:v>
      </x:c>
      <x:c r="B37" s="51" t="n">
        <x:v>13380</x:v>
      </x:c>
      <x:c r="C37" s="51" t="n">
        <x:v>13367</x:v>
      </x:c>
      <x:c r="D37" s="51" t="n">
        <x:v>3365</x:v>
      </x:c>
      <x:c r="E37" s="51" t="n">
        <x:v>0</x:v>
      </x:c>
      <x:c r="F37" s="51" t="n">
        <x:v>30112</x:v>
      </x:c>
      <x:c r="G37" s="51" t="n">
        <x:v>30155</x:v>
      </x:c>
      <x:c r="H37" s="52" t="n">
        <x:f>'Riding comparison'!K37</x:f>
        <x:v>13380</x:v>
      </x:c>
      <x:c r="I37" s="52" t="n">
        <x:f>'Riding comparison'!L37</x:f>
        <x:v>13367</x:v>
      </x:c>
      <x:c r="J37" s="52" t="n">
        <x:f>'Riding comparison'!M37</x:f>
        <x:v>3365</x:v>
      </x:c>
      <x:c r="K37" s="52" t="n">
        <x:f>'Riding comparison'!N37</x:f>
        <x:v>0</x:v>
      </x:c>
      <x:c r="L37" s="52" t="n">
        <x:f>'Riding comparison'!O37</x:f>
        <x:v>30112</x:v>
      </x:c>
      <x:c r="M37" s="52" t="n">
        <x:f>'Riding comparison'!P37</x:f>
        <x:v>30155</x:v>
      </x:c>
      <x:c r="N37" s="53" t="n">
        <x:f>H37-B37</x:f>
        <x:v>0</x:v>
      </x:c>
      <x:c r="O37" s="53" t="n">
        <x:f>I37-C37</x:f>
        <x:v>0</x:v>
      </x:c>
      <x:c r="P37" s="53" t="n">
        <x:f>J37-D37</x:f>
        <x:v>0</x:v>
      </x:c>
      <x:c r="Q37" s="53" t="n">
        <x:f>K37-E37</x:f>
        <x:v>0</x:v>
      </x:c>
      <x:c r="R37" s="53" t="n">
        <x:f>L37-F37</x:f>
        <x:v>0</x:v>
      </x:c>
      <x:c r="S37" s="53" t="n">
        <x:f>M37-G37</x:f>
        <x:v>0</x:v>
      </x:c>
      <x:c r="T37" t="str">
        <x:f>IF(COUNTIF(N37:S37,"&lt;&gt;0")=0,"UNCHANGED","UPDATED")</x:f>
        <x:v>UNCHANGED</x:v>
      </x:c>
      <x:c r="U37" t="str">
        <x:v>https://results.elections.bc.ca/</x:v>
      </x:c>
      <x:c r="V37" t="str">
        <x:v>https://results.elections.bc.ca/</x:v>
      </x:c>
    </x:row>
    <x:row r="38" ht="19" customHeight="1">
      <x:c r="A38" t="str">
        <x:v>Langford-Highlands</x:v>
      </x:c>
      <x:c r="B38" s="51" t="n">
        <x:v>8737</x:v>
      </x:c>
      <x:c r="C38" s="51" t="n">
        <x:v>7588</x:v>
      </x:c>
      <x:c r="D38" s="51" t="n">
        <x:v>2550</x:v>
      </x:c>
      <x:c r="E38" s="51" t="n">
        <x:v>644</x:v>
      </x:c>
      <x:c r="F38" s="51" t="n">
        <x:v>19519</x:v>
      </x:c>
      <x:c r="G38" s="51" t="n">
        <x:v>19536</x:v>
      </x:c>
      <x:c r="H38" s="52" t="n">
        <x:f>'Riding comparison'!K38</x:f>
        <x:v>8737</x:v>
      </x:c>
      <x:c r="I38" s="52" t="n">
        <x:f>'Riding comparison'!L38</x:f>
        <x:v>7588</x:v>
      </x:c>
      <x:c r="J38" s="52" t="n">
        <x:f>'Riding comparison'!M38</x:f>
        <x:v>2550</x:v>
      </x:c>
      <x:c r="K38" s="52" t="n">
        <x:f>'Riding comparison'!N38</x:f>
        <x:v>644</x:v>
      </x:c>
      <x:c r="L38" s="52" t="n">
        <x:f>'Riding comparison'!O38</x:f>
        <x:v>19519</x:v>
      </x:c>
      <x:c r="M38" s="52" t="n">
        <x:f>'Riding comparison'!P38</x:f>
        <x:v>19536</x:v>
      </x:c>
      <x:c r="N38" s="53" t="n">
        <x:f>H38-B38</x:f>
        <x:v>0</x:v>
      </x:c>
      <x:c r="O38" s="53" t="n">
        <x:f>I38-C38</x:f>
        <x:v>0</x:v>
      </x:c>
      <x:c r="P38" s="53" t="n">
        <x:f>J38-D38</x:f>
        <x:v>0</x:v>
      </x:c>
      <x:c r="Q38" s="53" t="n">
        <x:f>K38-E38</x:f>
        <x:v>0</x:v>
      </x:c>
      <x:c r="R38" s="53" t="n">
        <x:f>L38-F38</x:f>
        <x:v>0</x:v>
      </x:c>
      <x:c r="S38" s="53" t="n">
        <x:f>M38-G38</x:f>
        <x:v>0</x:v>
      </x:c>
      <x:c r="T38" t="str">
        <x:f>IF(COUNTIF(N38:S38,"&lt;&gt;0")=0,"UNCHANGED","UPDATED")</x:f>
        <x:v>UNCHANGED</x:v>
      </x:c>
      <x:c r="U38" t="str">
        <x:v>https://results.elections.bc.ca/</x:v>
      </x:c>
      <x:c r="V38" t="str">
        <x:v>https://results.elections.bc.ca/</x:v>
      </x:c>
    </x:row>
    <x:row r="39" ht="19" customHeight="1">
      <x:c r="A39" t="str">
        <x:v>Langley-Abbotsford</x:v>
      </x:c>
      <x:c r="B39" s="51" t="n">
        <x:v>5199</x:v>
      </x:c>
      <x:c r="C39" s="51" t="n">
        <x:v>13474</x:v>
      </x:c>
      <x:c r="D39" s="51" t="n">
        <x:v>1874</x:v>
      </x:c>
      <x:c r="E39" s="51" t="n">
        <x:v>1403</x:v>
      </x:c>
      <x:c r="F39" s="51" t="n">
        <x:v>21950</x:v>
      </x:c>
      <x:c r="G39" s="51" t="n">
        <x:v>22007</x:v>
      </x:c>
      <x:c r="H39" s="52" t="n">
        <x:f>'Riding comparison'!K39</x:f>
        <x:v>5199</x:v>
      </x:c>
      <x:c r="I39" s="52" t="n">
        <x:f>'Riding comparison'!L39</x:f>
        <x:v>13474</x:v>
      </x:c>
      <x:c r="J39" s="52" t="n">
        <x:f>'Riding comparison'!M39</x:f>
        <x:v>1874</x:v>
      </x:c>
      <x:c r="K39" s="52" t="n">
        <x:f>'Riding comparison'!N39</x:f>
        <x:v>1403</x:v>
      </x:c>
      <x:c r="L39" s="52" t="n">
        <x:f>'Riding comparison'!O39</x:f>
        <x:v>21950</x:v>
      </x:c>
      <x:c r="M39" s="52" t="n">
        <x:f>'Riding comparison'!P39</x:f>
        <x:v>22007</x:v>
      </x:c>
      <x:c r="N39" s="53" t="n">
        <x:f>H39-B39</x:f>
        <x:v>0</x:v>
      </x:c>
      <x:c r="O39" s="53" t="n">
        <x:f>I39-C39</x:f>
        <x:v>0</x:v>
      </x:c>
      <x:c r="P39" s="53" t="n">
        <x:f>J39-D39</x:f>
        <x:v>0</x:v>
      </x:c>
      <x:c r="Q39" s="53" t="n">
        <x:f>K39-E39</x:f>
        <x:v>0</x:v>
      </x:c>
      <x:c r="R39" s="53" t="n">
        <x:f>L39-F39</x:f>
        <x:v>0</x:v>
      </x:c>
      <x:c r="S39" s="53" t="n">
        <x:f>M39-G39</x:f>
        <x:v>0</x:v>
      </x:c>
      <x:c r="T39" t="str">
        <x:f>IF(COUNTIF(N39:S39,"&lt;&gt;0")=0,"UNCHANGED","UPDATED")</x:f>
        <x:v>UNCHANGED</x:v>
      </x:c>
      <x:c r="U39" t="str">
        <x:v>https://results.elections.bc.ca/</x:v>
      </x:c>
      <x:c r="V39" t="str">
        <x:v>https://results.elections.bc.ca/</x:v>
      </x:c>
    </x:row>
    <x:row r="40" ht="19" customHeight="1">
      <x:c r="A40" t="str">
        <x:v>Langley-Walnut Grove</x:v>
      </x:c>
      <x:c r="B40" s="51" t="n">
        <x:v>6846</x:v>
      </x:c>
      <x:c r="C40" s="51" t="n">
        <x:v>12310</x:v>
      </x:c>
      <x:c r="D40" s="51" t="n">
        <x:v>1560</x:v>
      </x:c>
      <x:c r="E40" s="51" t="n">
        <x:v>944</x:v>
      </x:c>
      <x:c r="F40" s="51" t="n">
        <x:v>21660</x:v>
      </x:c>
      <x:c r="G40" s="51" t="n">
        <x:v>21678</x:v>
      </x:c>
      <x:c r="H40" s="52" t="n">
        <x:f>'Riding comparison'!K40</x:f>
        <x:v>6846</x:v>
      </x:c>
      <x:c r="I40" s="52" t="n">
        <x:f>'Riding comparison'!L40</x:f>
        <x:v>12310</x:v>
      </x:c>
      <x:c r="J40" s="52" t="n">
        <x:f>'Riding comparison'!M40</x:f>
        <x:v>1560</x:v>
      </x:c>
      <x:c r="K40" s="52" t="n">
        <x:f>'Riding comparison'!N40</x:f>
        <x:v>944</x:v>
      </x:c>
      <x:c r="L40" s="52" t="n">
        <x:f>'Riding comparison'!O40</x:f>
        <x:v>21660</x:v>
      </x:c>
      <x:c r="M40" s="52" t="n">
        <x:f>'Riding comparison'!P40</x:f>
        <x:v>21678</x:v>
      </x:c>
      <x:c r="N40" s="53" t="n">
        <x:f>H40-B40</x:f>
        <x:v>0</x:v>
      </x:c>
      <x:c r="O40" s="53" t="n">
        <x:f>I40-C40</x:f>
        <x:v>0</x:v>
      </x:c>
      <x:c r="P40" s="53" t="n">
        <x:f>J40-D40</x:f>
        <x:v>0</x:v>
      </x:c>
      <x:c r="Q40" s="53" t="n">
        <x:f>K40-E40</x:f>
        <x:v>0</x:v>
      </x:c>
      <x:c r="R40" s="53" t="n">
        <x:f>L40-F40</x:f>
        <x:v>0</x:v>
      </x:c>
      <x:c r="S40" s="53" t="n">
        <x:f>M40-G40</x:f>
        <x:v>0</x:v>
      </x:c>
      <x:c r="T40" t="str">
        <x:f>IF(COUNTIF(N40:S40,"&lt;&gt;0")=0,"UNCHANGED","UPDATED")</x:f>
        <x:v>UNCHANGED</x:v>
      </x:c>
      <x:c r="U40" t="str">
        <x:v>https://results.elections.bc.ca/</x:v>
      </x:c>
      <x:c r="V40" t="str">
        <x:v>https://results.elections.bc.ca/</x:v>
      </x:c>
    </x:row>
    <x:row r="41" ht="19" customHeight="1">
      <x:c r="A41" t="str">
        <x:v>Langley-Willowbrook</x:v>
      </x:c>
      <x:c r="B41" s="51" t="n">
        <x:v>6834</x:v>
      </x:c>
      <x:c r="C41" s="51" t="n">
        <x:v>9978</x:v>
      </x:c>
      <x:c r="D41" s="51" t="n">
        <x:v>1486</x:v>
      </x:c>
      <x:c r="E41" s="51" t="n">
        <x:v>700</x:v>
      </x:c>
      <x:c r="F41" s="51" t="n">
        <x:v>18998</x:v>
      </x:c>
      <x:c r="G41" s="51" t="n">
        <x:v>19039</x:v>
      </x:c>
      <x:c r="H41" s="52" t="n">
        <x:f>'Riding comparison'!K41</x:f>
        <x:v>6834</x:v>
      </x:c>
      <x:c r="I41" s="52" t="n">
        <x:f>'Riding comparison'!L41</x:f>
        <x:v>9978</x:v>
      </x:c>
      <x:c r="J41" s="52" t="n">
        <x:f>'Riding comparison'!M41</x:f>
        <x:v>1486</x:v>
      </x:c>
      <x:c r="K41" s="52" t="n">
        <x:f>'Riding comparison'!N41</x:f>
        <x:v>700</x:v>
      </x:c>
      <x:c r="L41" s="52" t="n">
        <x:f>'Riding comparison'!O41</x:f>
        <x:v>18998</x:v>
      </x:c>
      <x:c r="M41" s="52" t="n">
        <x:f>'Riding comparison'!P41</x:f>
        <x:v>19039</x:v>
      </x:c>
      <x:c r="N41" s="53" t="n">
        <x:f>H41-B41</x:f>
        <x:v>0</x:v>
      </x:c>
      <x:c r="O41" s="53" t="n">
        <x:f>I41-C41</x:f>
        <x:v>0</x:v>
      </x:c>
      <x:c r="P41" s="53" t="n">
        <x:f>J41-D41</x:f>
        <x:v>0</x:v>
      </x:c>
      <x:c r="Q41" s="53" t="n">
        <x:f>K41-E41</x:f>
        <x:v>0</x:v>
      </x:c>
      <x:c r="R41" s="53" t="n">
        <x:f>L41-F41</x:f>
        <x:v>0</x:v>
      </x:c>
      <x:c r="S41" s="53" t="n">
        <x:f>M41-G41</x:f>
        <x:v>0</x:v>
      </x:c>
      <x:c r="T41" t="str">
        <x:f>IF(COUNTIF(N41:S41,"&lt;&gt;0")=0,"UNCHANGED","UPDATED")</x:f>
        <x:v>UNCHANGED</x:v>
      </x:c>
      <x:c r="U41" t="str">
        <x:v>https://results.elections.bc.ca/</x:v>
      </x:c>
      <x:c r="V41" t="str">
        <x:v>https://results.elections.bc.ca/</x:v>
      </x:c>
    </x:row>
    <x:row r="42" ht="19" customHeight="1">
      <x:c r="A42" t="str">
        <x:v>Maple Ridge East</x:v>
      </x:c>
      <x:c r="B42" s="51" t="n">
        <x:v>8398</x:v>
      </x:c>
      <x:c r="C42" s="51" t="n">
        <x:v>12061</x:v>
      </x:c>
      <x:c r="D42" s="51" t="n">
        <x:v>1711</x:v>
      </x:c>
      <x:c r="E42" s="51" t="n">
        <x:v>331</x:v>
      </x:c>
      <x:c r="F42" s="51" t="n">
        <x:v>22501</x:v>
      </x:c>
      <x:c r="G42" s="51" t="n">
        <x:v>22541</x:v>
      </x:c>
      <x:c r="H42" s="52" t="n">
        <x:f>'Riding comparison'!K42</x:f>
        <x:v>8398</x:v>
      </x:c>
      <x:c r="I42" s="52" t="n">
        <x:f>'Riding comparison'!L42</x:f>
        <x:v>12061</x:v>
      </x:c>
      <x:c r="J42" s="52" t="n">
        <x:f>'Riding comparison'!M42</x:f>
        <x:v>1711</x:v>
      </x:c>
      <x:c r="K42" s="52" t="n">
        <x:f>'Riding comparison'!N42</x:f>
        <x:v>331</x:v>
      </x:c>
      <x:c r="L42" s="52" t="n">
        <x:f>'Riding comparison'!O42</x:f>
        <x:v>22501</x:v>
      </x:c>
      <x:c r="M42" s="52" t="n">
        <x:f>'Riding comparison'!P42</x:f>
        <x:v>22541</x:v>
      </x:c>
      <x:c r="N42" s="53" t="n">
        <x:f>H42-B42</x:f>
        <x:v>0</x:v>
      </x:c>
      <x:c r="O42" s="53" t="n">
        <x:f>I42-C42</x:f>
        <x:v>0</x:v>
      </x:c>
      <x:c r="P42" s="53" t="n">
        <x:f>J42-D42</x:f>
        <x:v>0</x:v>
      </x:c>
      <x:c r="Q42" s="53" t="n">
        <x:f>K42-E42</x:f>
        <x:v>0</x:v>
      </x:c>
      <x:c r="R42" s="53" t="n">
        <x:f>L42-F42</x:f>
        <x:v>0</x:v>
      </x:c>
      <x:c r="S42" s="53" t="n">
        <x:f>M42-G42</x:f>
        <x:v>0</x:v>
      </x:c>
      <x:c r="T42" t="str">
        <x:f>IF(COUNTIF(N42:S42,"&lt;&gt;0")=0,"UNCHANGED","UPDATED")</x:f>
        <x:v>UNCHANGED</x:v>
      </x:c>
      <x:c r="U42" t="str">
        <x:v>https://results.elections.bc.ca/</x:v>
      </x:c>
      <x:c r="V42" t="str">
        <x:v>https://results.elections.bc.ca/</x:v>
      </x:c>
    </x:row>
    <x:row r="43" ht="19" customHeight="1">
      <x:c r="A43" t="str">
        <x:v>Maple Ridge-Pitt Meadows</x:v>
      </x:c>
      <x:c r="B43" s="51" t="n">
        <x:v>9987</x:v>
      </x:c>
      <x:c r="C43" s="51" t="n">
        <x:v>10837</x:v>
      </x:c>
      <x:c r="D43" s="51" t="n">
        <x:v>0</x:v>
      </x:c>
      <x:c r="E43" s="51" t="n">
        <x:v>1595</x:v>
      </x:c>
      <x:c r="F43" s="51" t="n">
        <x:v>22419</x:v>
      </x:c>
      <x:c r="G43" s="51" t="n">
        <x:v>22464</x:v>
      </x:c>
      <x:c r="H43" s="52" t="n">
        <x:f>'Riding comparison'!K43</x:f>
        <x:v>9987</x:v>
      </x:c>
      <x:c r="I43" s="52" t="n">
        <x:f>'Riding comparison'!L43</x:f>
        <x:v>10837</x:v>
      </x:c>
      <x:c r="J43" s="52" t="n">
        <x:f>'Riding comparison'!M43</x:f>
        <x:v>0</x:v>
      </x:c>
      <x:c r="K43" s="52" t="n">
        <x:f>'Riding comparison'!N43</x:f>
        <x:v>1595</x:v>
      </x:c>
      <x:c r="L43" s="52" t="n">
        <x:f>'Riding comparison'!O43</x:f>
        <x:v>22419</x:v>
      </x:c>
      <x:c r="M43" s="52" t="n">
        <x:f>'Riding comparison'!P43</x:f>
        <x:v>22464</x:v>
      </x:c>
      <x:c r="N43" s="53" t="n">
        <x:f>H43-B43</x:f>
        <x:v>0</x:v>
      </x:c>
      <x:c r="O43" s="53" t="n">
        <x:f>I43-C43</x:f>
        <x:v>0</x:v>
      </x:c>
      <x:c r="P43" s="53" t="n">
        <x:f>J43-D43</x:f>
        <x:v>0</x:v>
      </x:c>
      <x:c r="Q43" s="53" t="n">
        <x:f>K43-E43</x:f>
        <x:v>0</x:v>
      </x:c>
      <x:c r="R43" s="53" t="n">
        <x:f>L43-F43</x:f>
        <x:v>0</x:v>
      </x:c>
      <x:c r="S43" s="53" t="n">
        <x:f>M43-G43</x:f>
        <x:v>0</x:v>
      </x:c>
      <x:c r="T43" t="str">
        <x:f>IF(COUNTIF(N43:S43,"&lt;&gt;0")=0,"UNCHANGED","UPDATED")</x:f>
        <x:v>UNCHANGED</x:v>
      </x:c>
      <x:c r="U43" t="str">
        <x:v>https://results.elections.bc.ca/</x:v>
      </x:c>
      <x:c r="V43" t="str">
        <x:v>https://results.elections.bc.ca/</x:v>
      </x:c>
    </x:row>
    <x:row r="44" ht="19" customHeight="1">
      <x:c r="A44" t="str">
        <x:v>Mid Island-Pacific Rim</x:v>
      </x:c>
      <x:c r="B44" s="51" t="n">
        <x:v>11916</x:v>
      </x:c>
      <x:c r="C44" s="51" t="n">
        <x:v>10301</x:v>
      </x:c>
      <x:c r="D44" s="51" t="n">
        <x:v>3203</x:v>
      </x:c>
      <x:c r="E44" s="51" t="n">
        <x:v>0</x:v>
      </x:c>
      <x:c r="F44" s="51" t="n">
        <x:v>25420</x:v>
      </x:c>
      <x:c r="G44" s="51" t="n">
        <x:v>25462</x:v>
      </x:c>
      <x:c r="H44" s="52" t="n">
        <x:f>'Riding comparison'!K44</x:f>
        <x:v>11916</x:v>
      </x:c>
      <x:c r="I44" s="52" t="n">
        <x:f>'Riding comparison'!L44</x:f>
        <x:v>10301</x:v>
      </x:c>
      <x:c r="J44" s="52" t="n">
        <x:f>'Riding comparison'!M44</x:f>
        <x:v>3203</x:v>
      </x:c>
      <x:c r="K44" s="52" t="n">
        <x:f>'Riding comparison'!N44</x:f>
        <x:v>0</x:v>
      </x:c>
      <x:c r="L44" s="52" t="n">
        <x:f>'Riding comparison'!O44</x:f>
        <x:v>25420</x:v>
      </x:c>
      <x:c r="M44" s="52" t="n">
        <x:f>'Riding comparison'!P44</x:f>
        <x:v>25462</x:v>
      </x:c>
      <x:c r="N44" s="53" t="n">
        <x:f>H44-B44</x:f>
        <x:v>0</x:v>
      </x:c>
      <x:c r="O44" s="53" t="n">
        <x:f>I44-C44</x:f>
        <x:v>0</x:v>
      </x:c>
      <x:c r="P44" s="53" t="n">
        <x:f>J44-D44</x:f>
        <x:v>0</x:v>
      </x:c>
      <x:c r="Q44" s="53" t="n">
        <x:f>K44-E44</x:f>
        <x:v>0</x:v>
      </x:c>
      <x:c r="R44" s="53" t="n">
        <x:f>L44-F44</x:f>
        <x:v>0</x:v>
      </x:c>
      <x:c r="S44" s="53" t="n">
        <x:f>M44-G44</x:f>
        <x:v>0</x:v>
      </x:c>
      <x:c r="T44" t="str">
        <x:f>IF(COUNTIF(N44:S44,"&lt;&gt;0")=0,"UNCHANGED","UPDATED")</x:f>
        <x:v>UNCHANGED</x:v>
      </x:c>
      <x:c r="U44" t="str">
        <x:v>https://results.elections.bc.ca/</x:v>
      </x:c>
      <x:c r="V44" t="str">
        <x:v>https://results.elections.bc.ca/</x:v>
      </x:c>
    </x:row>
    <x:row r="45" ht="19" customHeight="1">
      <x:c r="A45" t="str">
        <x:v>Nanaimo-Gabriola Island</x:v>
      </x:c>
      <x:c r="B45" s="51" t="n">
        <x:v>11079</x:v>
      </x:c>
      <x:c r="C45" s="51" t="n">
        <x:v>8262</x:v>
      </x:c>
      <x:c r="D45" s="51" t="n">
        <x:v>3692</x:v>
      </x:c>
      <x:c r="E45" s="51" t="n">
        <x:v>0</x:v>
      </x:c>
      <x:c r="F45" s="51" t="n">
        <x:v>23033</x:v>
      </x:c>
      <x:c r="G45" s="51" t="n">
        <x:v>23077</x:v>
      </x:c>
      <x:c r="H45" s="52" t="n">
        <x:f>'Riding comparison'!K45</x:f>
        <x:v>11079</x:v>
      </x:c>
      <x:c r="I45" s="52" t="n">
        <x:f>'Riding comparison'!L45</x:f>
        <x:v>8262</x:v>
      </x:c>
      <x:c r="J45" s="52" t="n">
        <x:f>'Riding comparison'!M45</x:f>
        <x:v>3692</x:v>
      </x:c>
      <x:c r="K45" s="52" t="n">
        <x:f>'Riding comparison'!N45</x:f>
        <x:v>0</x:v>
      </x:c>
      <x:c r="L45" s="52" t="n">
        <x:f>'Riding comparison'!O45</x:f>
        <x:v>23033</x:v>
      </x:c>
      <x:c r="M45" s="52" t="n">
        <x:f>'Riding comparison'!P45</x:f>
        <x:v>23077</x:v>
      </x:c>
      <x:c r="N45" s="53" t="n">
        <x:f>H45-B45</x:f>
        <x:v>0</x:v>
      </x:c>
      <x:c r="O45" s="53" t="n">
        <x:f>I45-C45</x:f>
        <x:v>0</x:v>
      </x:c>
      <x:c r="P45" s="53" t="n">
        <x:f>J45-D45</x:f>
        <x:v>0</x:v>
      </x:c>
      <x:c r="Q45" s="53" t="n">
        <x:f>K45-E45</x:f>
        <x:v>0</x:v>
      </x:c>
      <x:c r="R45" s="53" t="n">
        <x:f>L45-F45</x:f>
        <x:v>0</x:v>
      </x:c>
      <x:c r="S45" s="53" t="n">
        <x:f>M45-G45</x:f>
        <x:v>0</x:v>
      </x:c>
      <x:c r="T45" t="str">
        <x:f>IF(COUNTIF(N45:S45,"&lt;&gt;0")=0,"UNCHANGED","UPDATED")</x:f>
        <x:v>UNCHANGED</x:v>
      </x:c>
      <x:c r="U45" t="str">
        <x:v>https://results.elections.bc.ca/</x:v>
      </x:c>
      <x:c r="V45" t="str">
        <x:v>https://results.elections.bc.ca/</x:v>
      </x:c>
    </x:row>
    <x:row r="46" ht="19" customHeight="1">
      <x:c r="A46" t="str">
        <x:v>Nanaimo-Lantzville</x:v>
      </x:c>
      <x:c r="B46" s="51" t="n">
        <x:v>11567</x:v>
      </x:c>
      <x:c r="C46" s="51" t="n">
        <x:v>10701</x:v>
      </x:c>
      <x:c r="D46" s="51" t="n">
        <x:v>2448</x:v>
      </x:c>
      <x:c r="E46" s="51" t="n">
        <x:v>76</x:v>
      </x:c>
      <x:c r="F46" s="51" t="n">
        <x:v>24792</x:v>
      </x:c>
      <x:c r="G46" s="51" t="n">
        <x:v>24830</x:v>
      </x:c>
      <x:c r="H46" s="52" t="n">
        <x:f>'Riding comparison'!K46</x:f>
        <x:v>11567</x:v>
      </x:c>
      <x:c r="I46" s="52" t="n">
        <x:f>'Riding comparison'!L46</x:f>
        <x:v>10701</x:v>
      </x:c>
      <x:c r="J46" s="52" t="n">
        <x:f>'Riding comparison'!M46</x:f>
        <x:v>2448</x:v>
      </x:c>
      <x:c r="K46" s="52" t="n">
        <x:f>'Riding comparison'!N46</x:f>
        <x:v>76</x:v>
      </x:c>
      <x:c r="L46" s="52" t="n">
        <x:f>'Riding comparison'!O46</x:f>
        <x:v>24792</x:v>
      </x:c>
      <x:c r="M46" s="52" t="n">
        <x:f>'Riding comparison'!P46</x:f>
        <x:v>24830</x:v>
      </x:c>
      <x:c r="N46" s="53" t="n">
        <x:f>H46-B46</x:f>
        <x:v>0</x:v>
      </x:c>
      <x:c r="O46" s="53" t="n">
        <x:f>I46-C46</x:f>
        <x:v>0</x:v>
      </x:c>
      <x:c r="P46" s="53" t="n">
        <x:f>J46-D46</x:f>
        <x:v>0</x:v>
      </x:c>
      <x:c r="Q46" s="53" t="n">
        <x:f>K46-E46</x:f>
        <x:v>0</x:v>
      </x:c>
      <x:c r="R46" s="53" t="n">
        <x:f>L46-F46</x:f>
        <x:v>0</x:v>
      </x:c>
      <x:c r="S46" s="53" t="n">
        <x:f>M46-G46</x:f>
        <x:v>0</x:v>
      </x:c>
      <x:c r="T46" t="str">
        <x:f>IF(COUNTIF(N46:S46,"&lt;&gt;0")=0,"UNCHANGED","UPDATED")</x:f>
        <x:v>UNCHANGED</x:v>
      </x:c>
      <x:c r="U46" t="str">
        <x:v>https://results.elections.bc.ca/</x:v>
      </x:c>
      <x:c r="V46" t="str">
        <x:v>https://results.elections.bc.ca/</x:v>
      </x:c>
    </x:row>
    <x:row r="47" ht="19" customHeight="1">
      <x:c r="A47" t="str">
        <x:v>Nechako Lakes</x:v>
      </x:c>
      <x:c r="B47" s="51" t="n">
        <x:v>2150</x:v>
      </x:c>
      <x:c r="C47" s="51" t="n">
        <x:v>5954</x:v>
      </x:c>
      <x:c r="D47" s="51" t="n">
        <x:v>0</x:v>
      </x:c>
      <x:c r="E47" s="51" t="n">
        <x:v>1219</x:v>
      </x:c>
      <x:c r="F47" s="51" t="n">
        <x:v>9323</x:v>
      </x:c>
      <x:c r="G47" s="51" t="n">
        <x:v>9337</x:v>
      </x:c>
      <x:c r="H47" s="52" t="n">
        <x:f>'Riding comparison'!K47</x:f>
        <x:v>2150</x:v>
      </x:c>
      <x:c r="I47" s="52" t="n">
        <x:f>'Riding comparison'!L47</x:f>
        <x:v>5954</x:v>
      </x:c>
      <x:c r="J47" s="52" t="n">
        <x:f>'Riding comparison'!M47</x:f>
        <x:v>0</x:v>
      </x:c>
      <x:c r="K47" s="52" t="n">
        <x:f>'Riding comparison'!N47</x:f>
        <x:v>1219</x:v>
      </x:c>
      <x:c r="L47" s="52" t="n">
        <x:f>'Riding comparison'!O47</x:f>
        <x:v>9323</x:v>
      </x:c>
      <x:c r="M47" s="52" t="n">
        <x:f>'Riding comparison'!P47</x:f>
        <x:v>9337</x:v>
      </x:c>
      <x:c r="N47" s="53" t="n">
        <x:f>H47-B47</x:f>
        <x:v>0</x:v>
      </x:c>
      <x:c r="O47" s="53" t="n">
        <x:f>I47-C47</x:f>
        <x:v>0</x:v>
      </x:c>
      <x:c r="P47" s="53" t="n">
        <x:f>J47-D47</x:f>
        <x:v>0</x:v>
      </x:c>
      <x:c r="Q47" s="53" t="n">
        <x:f>K47-E47</x:f>
        <x:v>0</x:v>
      </x:c>
      <x:c r="R47" s="53" t="n">
        <x:f>L47-F47</x:f>
        <x:v>0</x:v>
      </x:c>
      <x:c r="S47" s="53" t="n">
        <x:f>M47-G47</x:f>
        <x:v>0</x:v>
      </x:c>
      <x:c r="T47" t="str">
        <x:f>IF(COUNTIF(N47:S47,"&lt;&gt;0")=0,"UNCHANGED","UPDATED")</x:f>
        <x:v>UNCHANGED</x:v>
      </x:c>
      <x:c r="U47" t="str">
        <x:v>https://results.elections.bc.ca/</x:v>
      </x:c>
      <x:c r="V47" t="str">
        <x:v>https://results.elections.bc.ca/</x:v>
      </x:c>
    </x:row>
    <x:row r="48" ht="19" customHeight="1">
      <x:c r="A48" t="str">
        <x:v>New Westminster-Coquitlam</x:v>
      </x:c>
      <x:c r="B48" s="51" t="n">
        <x:v>9289</x:v>
      </x:c>
      <x:c r="C48" s="51" t="n">
        <x:v>6315</x:v>
      </x:c>
      <x:c r="D48" s="51" t="n">
        <x:v>2838</x:v>
      </x:c>
      <x:c r="E48" s="51" t="n">
        <x:v>0</x:v>
      </x:c>
      <x:c r="F48" s="51" t="n">
        <x:v>18442</x:v>
      </x:c>
      <x:c r="G48" s="51" t="n">
        <x:v>18536</x:v>
      </x:c>
      <x:c r="H48" s="52" t="n">
        <x:f>'Riding comparison'!K48</x:f>
        <x:v>9289</x:v>
      </x:c>
      <x:c r="I48" s="52" t="n">
        <x:f>'Riding comparison'!L48</x:f>
        <x:v>6315</x:v>
      </x:c>
      <x:c r="J48" s="52" t="n">
        <x:f>'Riding comparison'!M48</x:f>
        <x:v>2838</x:v>
      </x:c>
      <x:c r="K48" s="52" t="n">
        <x:f>'Riding comparison'!N48</x:f>
        <x:v>0</x:v>
      </x:c>
      <x:c r="L48" s="52" t="n">
        <x:f>'Riding comparison'!O48</x:f>
        <x:v>18442</x:v>
      </x:c>
      <x:c r="M48" s="52" t="n">
        <x:f>'Riding comparison'!P48</x:f>
        <x:v>18536</x:v>
      </x:c>
      <x:c r="N48" s="53" t="n">
        <x:f>H48-B48</x:f>
        <x:v>0</x:v>
      </x:c>
      <x:c r="O48" s="53" t="n">
        <x:f>I48-C48</x:f>
        <x:v>0</x:v>
      </x:c>
      <x:c r="P48" s="53" t="n">
        <x:f>J48-D48</x:f>
        <x:v>0</x:v>
      </x:c>
      <x:c r="Q48" s="53" t="n">
        <x:f>K48-E48</x:f>
        <x:v>0</x:v>
      </x:c>
      <x:c r="R48" s="53" t="n">
        <x:f>L48-F48</x:f>
        <x:v>0</x:v>
      </x:c>
      <x:c r="S48" s="53" t="n">
        <x:f>M48-G48</x:f>
        <x:v>0</x:v>
      </x:c>
      <x:c r="T48" t="str">
        <x:f>IF(COUNTIF(N48:S48,"&lt;&gt;0")=0,"UNCHANGED","UPDATED")</x:f>
        <x:v>UNCHANGED</x:v>
      </x:c>
      <x:c r="U48" t="str">
        <x:v>https://results.elections.bc.ca/</x:v>
      </x:c>
      <x:c r="V48" t="str">
        <x:v>https://results.elections.bc.ca/</x:v>
      </x:c>
    </x:row>
    <x:row r="49" ht="19" customHeight="1">
      <x:c r="A49" t="str">
        <x:v>North Coast-Haida Gwaii</x:v>
      </x:c>
      <x:c r="B49" s="51" t="n">
        <x:v>4051</x:v>
      </x:c>
      <x:c r="C49" s="51" t="n">
        <x:v>1901</x:v>
      </x:c>
      <x:c r="D49" s="51" t="n">
        <x:v>641</x:v>
      </x:c>
      <x:c r="E49" s="51" t="n">
        <x:v>0</x:v>
      </x:c>
      <x:c r="F49" s="51" t="n">
        <x:v>6593</x:v>
      </x:c>
      <x:c r="G49" s="51" t="n">
        <x:v>6621</x:v>
      </x:c>
      <x:c r="H49" s="52" t="n">
        <x:f>'Riding comparison'!K49</x:f>
        <x:v>4051</x:v>
      </x:c>
      <x:c r="I49" s="52" t="n">
        <x:f>'Riding comparison'!L49</x:f>
        <x:v>1901</x:v>
      </x:c>
      <x:c r="J49" s="52" t="n">
        <x:f>'Riding comparison'!M49</x:f>
        <x:v>641</x:v>
      </x:c>
      <x:c r="K49" s="52" t="n">
        <x:f>'Riding comparison'!N49</x:f>
        <x:v>0</x:v>
      </x:c>
      <x:c r="L49" s="52" t="n">
        <x:f>'Riding comparison'!O49</x:f>
        <x:v>6593</x:v>
      </x:c>
      <x:c r="M49" s="52" t="n">
        <x:f>'Riding comparison'!P49</x:f>
        <x:v>6621</x:v>
      </x:c>
      <x:c r="N49" s="53" t="n">
        <x:f>H49-B49</x:f>
        <x:v>0</x:v>
      </x:c>
      <x:c r="O49" s="53" t="n">
        <x:f>I49-C49</x:f>
        <x:v>0</x:v>
      </x:c>
      <x:c r="P49" s="53" t="n">
        <x:f>J49-D49</x:f>
        <x:v>0</x:v>
      </x:c>
      <x:c r="Q49" s="53" t="n">
        <x:f>K49-E49</x:f>
        <x:v>0</x:v>
      </x:c>
      <x:c r="R49" s="53" t="n">
        <x:f>L49-F49</x:f>
        <x:v>0</x:v>
      </x:c>
      <x:c r="S49" s="53" t="n">
        <x:f>M49-G49</x:f>
        <x:v>0</x:v>
      </x:c>
      <x:c r="T49" t="str">
        <x:f>IF(COUNTIF(N49:S49,"&lt;&gt;0")=0,"UNCHANGED","UPDATED")</x:f>
        <x:v>UNCHANGED</x:v>
      </x:c>
      <x:c r="U49" t="str">
        <x:v>https://results.elections.bc.ca/</x:v>
      </x:c>
      <x:c r="V49" t="str">
        <x:v>https://results.elections.bc.ca/</x:v>
      </x:c>
    </x:row>
    <x:row r="50" ht="19" customHeight="1">
      <x:c r="A50" t="str">
        <x:v>North Island</x:v>
      </x:c>
      <x:c r="B50" s="51" t="n">
        <x:v>10695</x:v>
      </x:c>
      <x:c r="C50" s="51" t="n">
        <x:v>12071</x:v>
      </x:c>
      <x:c r="D50" s="51" t="n">
        <x:v>2076</x:v>
      </x:c>
      <x:c r="E50" s="51" t="n">
        <x:v>413</x:v>
      </x:c>
      <x:c r="F50" s="51" t="n">
        <x:v>25255</x:v>
      </x:c>
      <x:c r="G50" s="51" t="n">
        <x:v>25279</x:v>
      </x:c>
      <x:c r="H50" s="52" t="n">
        <x:f>'Riding comparison'!K50</x:f>
        <x:v>10695</x:v>
      </x:c>
      <x:c r="I50" s="52" t="n">
        <x:f>'Riding comparison'!L50</x:f>
        <x:v>12071</x:v>
      </x:c>
      <x:c r="J50" s="52" t="n">
        <x:f>'Riding comparison'!M50</x:f>
        <x:v>2076</x:v>
      </x:c>
      <x:c r="K50" s="52" t="n">
        <x:f>'Riding comparison'!N50</x:f>
        <x:v>413</x:v>
      </x:c>
      <x:c r="L50" s="52" t="n">
        <x:f>'Riding comparison'!O50</x:f>
        <x:v>25255</x:v>
      </x:c>
      <x:c r="M50" s="52" t="n">
        <x:f>'Riding comparison'!P50</x:f>
        <x:v>25279</x:v>
      </x:c>
      <x:c r="N50" s="53" t="n">
        <x:f>H50-B50</x:f>
        <x:v>0</x:v>
      </x:c>
      <x:c r="O50" s="53" t="n">
        <x:f>I50-C50</x:f>
        <x:v>0</x:v>
      </x:c>
      <x:c r="P50" s="53" t="n">
        <x:f>J50-D50</x:f>
        <x:v>0</x:v>
      </x:c>
      <x:c r="Q50" s="53" t="n">
        <x:f>K50-E50</x:f>
        <x:v>0</x:v>
      </x:c>
      <x:c r="R50" s="53" t="n">
        <x:f>L50-F50</x:f>
        <x:v>0</x:v>
      </x:c>
      <x:c r="S50" s="53" t="n">
        <x:f>M50-G50</x:f>
        <x:v>0</x:v>
      </x:c>
      <x:c r="T50" t="str">
        <x:f>IF(COUNTIF(N50:S50,"&lt;&gt;0")=0,"UNCHANGED","UPDATED")</x:f>
        <x:v>UNCHANGED</x:v>
      </x:c>
      <x:c r="U50" t="str">
        <x:v>https://results.elections.bc.ca/</x:v>
      </x:c>
      <x:c r="V50" t="str">
        <x:v>https://results.elections.bc.ca/</x:v>
      </x:c>
    </x:row>
    <x:row r="51" ht="19" customHeight="1">
      <x:c r="A51" t="str">
        <x:v>North Vancouver-Lonsdale</x:v>
      </x:c>
      <x:c r="B51" s="51" t="n">
        <x:v>10314</x:v>
      </x:c>
      <x:c r="C51" s="51" t="n">
        <x:v>9121</x:v>
      </x:c>
      <x:c r="D51" s="51" t="n">
        <x:v>2502</x:v>
      </x:c>
      <x:c r="E51" s="51" t="n">
        <x:v>0</x:v>
      </x:c>
      <x:c r="F51" s="51" t="n">
        <x:v>21937</x:v>
      </x:c>
      <x:c r="G51" s="51" t="n">
        <x:v>21979</x:v>
      </x:c>
      <x:c r="H51" s="52" t="n">
        <x:f>'Riding comparison'!K51</x:f>
        <x:v>10314</x:v>
      </x:c>
      <x:c r="I51" s="52" t="n">
        <x:f>'Riding comparison'!L51</x:f>
        <x:v>9121</x:v>
      </x:c>
      <x:c r="J51" s="52" t="n">
        <x:f>'Riding comparison'!M51</x:f>
        <x:v>2502</x:v>
      </x:c>
      <x:c r="K51" s="52" t="n">
        <x:f>'Riding comparison'!N51</x:f>
        <x:v>0</x:v>
      </x:c>
      <x:c r="L51" s="52" t="n">
        <x:f>'Riding comparison'!O51</x:f>
        <x:v>21937</x:v>
      </x:c>
      <x:c r="M51" s="52" t="n">
        <x:f>'Riding comparison'!P51</x:f>
        <x:v>21979</x:v>
      </x:c>
      <x:c r="N51" s="53" t="n">
        <x:f>H51-B51</x:f>
        <x:v>0</x:v>
      </x:c>
      <x:c r="O51" s="53" t="n">
        <x:f>I51-C51</x:f>
        <x:v>0</x:v>
      </x:c>
      <x:c r="P51" s="53" t="n">
        <x:f>J51-D51</x:f>
        <x:v>0</x:v>
      </x:c>
      <x:c r="Q51" s="53" t="n">
        <x:f>K51-E51</x:f>
        <x:v>0</x:v>
      </x:c>
      <x:c r="R51" s="53" t="n">
        <x:f>L51-F51</x:f>
        <x:v>0</x:v>
      </x:c>
      <x:c r="S51" s="53" t="n">
        <x:f>M51-G51</x:f>
        <x:v>0</x:v>
      </x:c>
      <x:c r="T51" t="str">
        <x:f>IF(COUNTIF(N51:S51,"&lt;&gt;0")=0,"UNCHANGED","UPDATED")</x:f>
        <x:v>UNCHANGED</x:v>
      </x:c>
      <x:c r="U51" t="str">
        <x:v>https://results.elections.bc.ca/</x:v>
      </x:c>
      <x:c r="V51" t="str">
        <x:v>https://results.elections.bc.ca/</x:v>
      </x:c>
    </x:row>
    <x:row r="52" ht="19" customHeight="1">
      <x:c r="A52" t="str">
        <x:v>North Vancouver-Seymour</x:v>
      </x:c>
      <x:c r="B52" s="51" t="n">
        <x:v>9825</x:v>
      </x:c>
      <x:c r="C52" s="51" t="n">
        <x:v>12291</x:v>
      </x:c>
      <x:c r="D52" s="51" t="n">
        <x:v>2825</x:v>
      </x:c>
      <x:c r="E52" s="51" t="n">
        <x:v>1314</x:v>
      </x:c>
      <x:c r="F52" s="51" t="n">
        <x:v>26255</x:v>
      </x:c>
      <x:c r="G52" s="51" t="n">
        <x:v>26334</x:v>
      </x:c>
      <x:c r="H52" s="52" t="n">
        <x:f>'Riding comparison'!K52</x:f>
        <x:v>9825</x:v>
      </x:c>
      <x:c r="I52" s="52" t="n">
        <x:f>'Riding comparison'!L52</x:f>
        <x:v>12291</x:v>
      </x:c>
      <x:c r="J52" s="52" t="n">
        <x:f>'Riding comparison'!M52</x:f>
        <x:v>2825</x:v>
      </x:c>
      <x:c r="K52" s="52" t="n">
        <x:f>'Riding comparison'!N52</x:f>
        <x:v>1314</x:v>
      </x:c>
      <x:c r="L52" s="52" t="n">
        <x:f>'Riding comparison'!O52</x:f>
        <x:v>26255</x:v>
      </x:c>
      <x:c r="M52" s="52" t="n">
        <x:f>'Riding comparison'!P52</x:f>
        <x:v>26334</x:v>
      </x:c>
      <x:c r="N52" s="53" t="n">
        <x:f>H52-B52</x:f>
        <x:v>0</x:v>
      </x:c>
      <x:c r="O52" s="53" t="n">
        <x:f>I52-C52</x:f>
        <x:v>0</x:v>
      </x:c>
      <x:c r="P52" s="53" t="n">
        <x:f>J52-D52</x:f>
        <x:v>0</x:v>
      </x:c>
      <x:c r="Q52" s="53" t="n">
        <x:f>K52-E52</x:f>
        <x:v>0</x:v>
      </x:c>
      <x:c r="R52" s="53" t="n">
        <x:f>L52-F52</x:f>
        <x:v>0</x:v>
      </x:c>
      <x:c r="S52" s="53" t="n">
        <x:f>M52-G52</x:f>
        <x:v>0</x:v>
      </x:c>
      <x:c r="T52" t="str">
        <x:f>IF(COUNTIF(N52:S52,"&lt;&gt;0")=0,"UNCHANGED","UPDATED")</x:f>
        <x:v>UNCHANGED</x:v>
      </x:c>
      <x:c r="U52" t="str">
        <x:v>https://results.elections.bc.ca/</x:v>
      </x:c>
      <x:c r="V52" t="str">
        <x:v>https://results.elections.bc.ca/</x:v>
      </x:c>
    </x:row>
    <x:row r="53" ht="19" customHeight="1">
      <x:c r="A53" t="str">
        <x:v>Oak Bay-Gordon Head</x:v>
      </x:c>
      <x:c r="B53" s="51" t="n">
        <x:v>9200</x:v>
      </x:c>
      <x:c r="C53" s="51" t="n">
        <x:v>7599</x:v>
      </x:c>
      <x:c r="D53" s="51" t="n">
        <x:v>5452</x:v>
      </x:c>
      <x:c r="E53" s="51" t="n">
        <x:v>2590</x:v>
      </x:c>
      <x:c r="F53" s="51" t="n">
        <x:v>24841</x:v>
      </x:c>
      <x:c r="G53" s="51" t="n">
        <x:v>24871</x:v>
      </x:c>
      <x:c r="H53" s="52" t="n">
        <x:f>'Riding comparison'!K53</x:f>
        <x:v>9200</x:v>
      </x:c>
      <x:c r="I53" s="52" t="n">
        <x:f>'Riding comparison'!L53</x:f>
        <x:v>7599</x:v>
      </x:c>
      <x:c r="J53" s="52" t="n">
        <x:f>'Riding comparison'!M53</x:f>
        <x:v>5452</x:v>
      </x:c>
      <x:c r="K53" s="52" t="n">
        <x:f>'Riding comparison'!N53</x:f>
        <x:v>2590</x:v>
      </x:c>
      <x:c r="L53" s="52" t="n">
        <x:f>'Riding comparison'!O53</x:f>
        <x:v>24841</x:v>
      </x:c>
      <x:c r="M53" s="52" t="n">
        <x:f>'Riding comparison'!P53</x:f>
        <x:v>24871</x:v>
      </x:c>
      <x:c r="N53" s="53" t="n">
        <x:f>H53-B53</x:f>
        <x:v>0</x:v>
      </x:c>
      <x:c r="O53" s="53" t="n">
        <x:f>I53-C53</x:f>
        <x:v>0</x:v>
      </x:c>
      <x:c r="P53" s="53" t="n">
        <x:f>J53-D53</x:f>
        <x:v>0</x:v>
      </x:c>
      <x:c r="Q53" s="53" t="n">
        <x:f>K53-E53</x:f>
        <x:v>0</x:v>
      </x:c>
      <x:c r="R53" s="53" t="n">
        <x:f>L53-F53</x:f>
        <x:v>0</x:v>
      </x:c>
      <x:c r="S53" s="53" t="n">
        <x:f>M53-G53</x:f>
        <x:v>0</x:v>
      </x:c>
      <x:c r="T53" t="str">
        <x:f>IF(COUNTIF(N53:S53,"&lt;&gt;0")=0,"UNCHANGED","UPDATED")</x:f>
        <x:v>UNCHANGED</x:v>
      </x:c>
      <x:c r="U53" t="str">
        <x:v>https://results.elections.bc.ca/</x:v>
      </x:c>
      <x:c r="V53" t="str">
        <x:v>https://results.elections.bc.ca/</x:v>
      </x:c>
    </x:row>
    <x:row r="54" ht="19" customHeight="1">
      <x:c r="A54" t="str">
        <x:v>Peace River North</x:v>
      </x:c>
      <x:c r="B54" s="51" t="n">
        <x:v>0</x:v>
      </x:c>
      <x:c r="C54" s="51" t="n">
        <x:v>8957</x:v>
      </x:c>
      <x:c r="D54" s="51" t="n">
        <x:v>0</x:v>
      </x:c>
      <x:c r="E54" s="51" t="n">
        <x:v>1489</x:v>
      </x:c>
      <x:c r="F54" s="51" t="n">
        <x:v>10446</x:v>
      </x:c>
      <x:c r="G54" s="51" t="n">
        <x:v>10749</x:v>
      </x:c>
      <x:c r="H54" s="52" t="n">
        <x:f>'Riding comparison'!K54</x:f>
        <x:v>0</x:v>
      </x:c>
      <x:c r="I54" s="52" t="n">
        <x:f>'Riding comparison'!L54</x:f>
        <x:v>8957</x:v>
      </x:c>
      <x:c r="J54" s="52" t="n">
        <x:f>'Riding comparison'!M54</x:f>
        <x:v>0</x:v>
      </x:c>
      <x:c r="K54" s="52" t="n">
        <x:f>'Riding comparison'!N54</x:f>
        <x:v>1489</x:v>
      </x:c>
      <x:c r="L54" s="52" t="n">
        <x:f>'Riding comparison'!O54</x:f>
        <x:v>10446</x:v>
      </x:c>
      <x:c r="M54" s="52" t="n">
        <x:f>'Riding comparison'!P54</x:f>
        <x:v>10749</x:v>
      </x:c>
      <x:c r="N54" s="53" t="n">
        <x:f>H54-B54</x:f>
        <x:v>0</x:v>
      </x:c>
      <x:c r="O54" s="53" t="n">
        <x:f>I54-C54</x:f>
        <x:v>0</x:v>
      </x:c>
      <x:c r="P54" s="53" t="n">
        <x:f>J54-D54</x:f>
        <x:v>0</x:v>
      </x:c>
      <x:c r="Q54" s="53" t="n">
        <x:f>K54-E54</x:f>
        <x:v>0</x:v>
      </x:c>
      <x:c r="R54" s="53" t="n">
        <x:f>L54-F54</x:f>
        <x:v>0</x:v>
      </x:c>
      <x:c r="S54" s="53" t="n">
        <x:f>M54-G54</x:f>
        <x:v>0</x:v>
      </x:c>
      <x:c r="T54" t="str">
        <x:f>IF(COUNTIF(N54:S54,"&lt;&gt;0")=0,"UNCHANGED","UPDATED")</x:f>
        <x:v>UNCHANGED</x:v>
      </x:c>
      <x:c r="U54" t="str">
        <x:v>https://results.elections.bc.ca/</x:v>
      </x:c>
      <x:c r="V54" t="str">
        <x:v>https://results.elections.bc.ca/</x:v>
      </x:c>
    </x:row>
    <x:row r="55" ht="19" customHeight="1">
      <x:c r="A55" t="str">
        <x:v>Peace River South</x:v>
      </x:c>
      <x:c r="B55" s="51" t="n">
        <x:v>1201</x:v>
      </x:c>
      <x:c r="C55" s="51" t="n">
        <x:v>6070</x:v>
      </x:c>
      <x:c r="D55" s="51" t="n">
        <x:v>0</x:v>
      </x:c>
      <x:c r="E55" s="51" t="n">
        <x:v>542</x:v>
      </x:c>
      <x:c r="F55" s="51" t="n">
        <x:v>7813</x:v>
      </x:c>
      <x:c r="G55" s="51" t="n">
        <x:v>7841</x:v>
      </x:c>
      <x:c r="H55" s="52" t="n">
        <x:f>'Riding comparison'!K55</x:f>
        <x:v>1201</x:v>
      </x:c>
      <x:c r="I55" s="52" t="n">
        <x:f>'Riding comparison'!L55</x:f>
        <x:v>6070</x:v>
      </x:c>
      <x:c r="J55" s="52" t="n">
        <x:f>'Riding comparison'!M55</x:f>
        <x:v>0</x:v>
      </x:c>
      <x:c r="K55" s="52" t="n">
        <x:f>'Riding comparison'!N55</x:f>
        <x:v>542</x:v>
      </x:c>
      <x:c r="L55" s="52" t="n">
        <x:f>'Riding comparison'!O55</x:f>
        <x:v>7813</x:v>
      </x:c>
      <x:c r="M55" s="52" t="n">
        <x:f>'Riding comparison'!P55</x:f>
        <x:v>7841</x:v>
      </x:c>
      <x:c r="N55" s="53" t="n">
        <x:f>H55-B55</x:f>
        <x:v>0</x:v>
      </x:c>
      <x:c r="O55" s="53" t="n">
        <x:f>I55-C55</x:f>
        <x:v>0</x:v>
      </x:c>
      <x:c r="P55" s="53" t="n">
        <x:f>J55-D55</x:f>
        <x:v>0</x:v>
      </x:c>
      <x:c r="Q55" s="53" t="n">
        <x:f>K55-E55</x:f>
        <x:v>0</x:v>
      </x:c>
      <x:c r="R55" s="53" t="n">
        <x:f>L55-F55</x:f>
        <x:v>0</x:v>
      </x:c>
      <x:c r="S55" s="53" t="n">
        <x:f>M55-G55</x:f>
        <x:v>0</x:v>
      </x:c>
      <x:c r="T55" t="str">
        <x:f>IF(COUNTIF(N55:S55,"&lt;&gt;0")=0,"UNCHANGED","UPDATED")</x:f>
        <x:v>UNCHANGED</x:v>
      </x:c>
      <x:c r="U55" t="str">
        <x:v>https://results.elections.bc.ca/</x:v>
      </x:c>
      <x:c r="V55" t="str">
        <x:v>https://results.elections.bc.ca/</x:v>
      </x:c>
    </x:row>
    <x:row r="56" ht="19" customHeight="1">
      <x:c r="A56" t="str">
        <x:v>Penticton-Summerland</x:v>
      </x:c>
      <x:c r="B56" s="51" t="n">
        <x:v>10470</x:v>
      </x:c>
      <x:c r="C56" s="51" t="n">
        <x:v>11589</x:v>
      </x:c>
      <x:c r="D56" s="51" t="n">
        <x:v>2031</x:v>
      </x:c>
      <x:c r="E56" s="51" t="n">
        <x:v>1341</x:v>
      </x:c>
      <x:c r="F56" s="51" t="n">
        <x:v>25431</x:v>
      </x:c>
      <x:c r="G56" s="51" t="n">
        <x:v>25461</x:v>
      </x:c>
      <x:c r="H56" s="52" t="n">
        <x:f>'Riding comparison'!K56</x:f>
        <x:v>10470</x:v>
      </x:c>
      <x:c r="I56" s="52" t="n">
        <x:f>'Riding comparison'!L56</x:f>
        <x:v>11589</x:v>
      </x:c>
      <x:c r="J56" s="52" t="n">
        <x:f>'Riding comparison'!M56</x:f>
        <x:v>2031</x:v>
      </x:c>
      <x:c r="K56" s="52" t="n">
        <x:f>'Riding comparison'!N56</x:f>
        <x:v>1341</x:v>
      </x:c>
      <x:c r="L56" s="52" t="n">
        <x:f>'Riding comparison'!O56</x:f>
        <x:v>25431</x:v>
      </x:c>
      <x:c r="M56" s="52" t="n">
        <x:f>'Riding comparison'!P56</x:f>
        <x:v>25461</x:v>
      </x:c>
      <x:c r="N56" s="53" t="n">
        <x:f>H56-B56</x:f>
        <x:v>0</x:v>
      </x:c>
      <x:c r="O56" s="53" t="n">
        <x:f>I56-C56</x:f>
        <x:v>0</x:v>
      </x:c>
      <x:c r="P56" s="53" t="n">
        <x:f>J56-D56</x:f>
        <x:v>0</x:v>
      </x:c>
      <x:c r="Q56" s="53" t="n">
        <x:f>K56-E56</x:f>
        <x:v>0</x:v>
      </x:c>
      <x:c r="R56" s="53" t="n">
        <x:f>L56-F56</x:f>
        <x:v>0</x:v>
      </x:c>
      <x:c r="S56" s="53" t="n">
        <x:f>M56-G56</x:f>
        <x:v>0</x:v>
      </x:c>
      <x:c r="T56" t="str">
        <x:f>IF(COUNTIF(N56:S56,"&lt;&gt;0")=0,"UNCHANGED","UPDATED")</x:f>
        <x:v>UNCHANGED</x:v>
      </x:c>
      <x:c r="U56" t="str">
        <x:v>https://results.elections.bc.ca/</x:v>
      </x:c>
      <x:c r="V56" t="str">
        <x:v>https://results.elections.bc.ca/</x:v>
      </x:c>
    </x:row>
    <x:row r="57" ht="19" customHeight="1">
      <x:c r="A57" t="str">
        <x:v>Port Coquitlam</x:v>
      </x:c>
      <x:c r="B57" s="51" t="n">
        <x:v>9760</x:v>
      </x:c>
      <x:c r="C57" s="51" t="n">
        <x:v>9374</x:v>
      </x:c>
      <x:c r="D57" s="51" t="n">
        <x:v>1833</x:v>
      </x:c>
      <x:c r="E57" s="51" t="n">
        <x:v>559</x:v>
      </x:c>
      <x:c r="F57" s="51" t="n">
        <x:v>21526</x:v>
      </x:c>
      <x:c r="G57" s="51" t="n">
        <x:v>21570</x:v>
      </x:c>
      <x:c r="H57" s="52" t="n">
        <x:f>'Riding comparison'!K57</x:f>
        <x:v>9760</x:v>
      </x:c>
      <x:c r="I57" s="52" t="n">
        <x:f>'Riding comparison'!L57</x:f>
        <x:v>9374</x:v>
      </x:c>
      <x:c r="J57" s="52" t="n">
        <x:f>'Riding comparison'!M57</x:f>
        <x:v>1833</x:v>
      </x:c>
      <x:c r="K57" s="52" t="n">
        <x:f>'Riding comparison'!N57</x:f>
        <x:v>559</x:v>
      </x:c>
      <x:c r="L57" s="52" t="n">
        <x:f>'Riding comparison'!O57</x:f>
        <x:v>21526</x:v>
      </x:c>
      <x:c r="M57" s="52" t="n">
        <x:f>'Riding comparison'!P57</x:f>
        <x:v>21570</x:v>
      </x:c>
      <x:c r="N57" s="53" t="n">
        <x:f>H57-B57</x:f>
        <x:v>0</x:v>
      </x:c>
      <x:c r="O57" s="53" t="n">
        <x:f>I57-C57</x:f>
        <x:v>0</x:v>
      </x:c>
      <x:c r="P57" s="53" t="n">
        <x:f>J57-D57</x:f>
        <x:v>0</x:v>
      </x:c>
      <x:c r="Q57" s="53" t="n">
        <x:f>K57-E57</x:f>
        <x:v>0</x:v>
      </x:c>
      <x:c r="R57" s="53" t="n">
        <x:f>L57-F57</x:f>
        <x:v>0</x:v>
      </x:c>
      <x:c r="S57" s="53" t="n">
        <x:f>M57-G57</x:f>
        <x:v>0</x:v>
      </x:c>
      <x:c r="T57" t="str">
        <x:f>IF(COUNTIF(N57:S57,"&lt;&gt;0")=0,"UNCHANGED","UPDATED")</x:f>
        <x:v>UNCHANGED</x:v>
      </x:c>
      <x:c r="U57" t="str">
        <x:v>https://results.elections.bc.ca/</x:v>
      </x:c>
      <x:c r="V57" t="str">
        <x:v>https://results.elections.bc.ca/</x:v>
      </x:c>
    </x:row>
    <x:row r="58" ht="19" customHeight="1">
      <x:c r="A58" t="str">
        <x:v>Port Moody-Burquitlam</x:v>
      </x:c>
      <x:c r="B58" s="51" t="n">
        <x:v>9635</x:v>
      </x:c>
      <x:c r="C58" s="51" t="n">
        <x:v>10713</x:v>
      </x:c>
      <x:c r="D58" s="51" t="n">
        <x:v>1874</x:v>
      </x:c>
      <x:c r="E58" s="51" t="n">
        <x:v>643</x:v>
      </x:c>
      <x:c r="F58" s="51" t="n">
        <x:v>22865</x:v>
      </x:c>
      <x:c r="G58" s="51" t="n">
        <x:v>22896</x:v>
      </x:c>
      <x:c r="H58" s="52" t="n">
        <x:f>'Riding comparison'!K58</x:f>
        <x:v>9635</x:v>
      </x:c>
      <x:c r="I58" s="52" t="n">
        <x:f>'Riding comparison'!L58</x:f>
        <x:v>10713</x:v>
      </x:c>
      <x:c r="J58" s="52" t="n">
        <x:f>'Riding comparison'!M58</x:f>
        <x:v>1874</x:v>
      </x:c>
      <x:c r="K58" s="52" t="n">
        <x:f>'Riding comparison'!N58</x:f>
        <x:v>643</x:v>
      </x:c>
      <x:c r="L58" s="52" t="n">
        <x:f>'Riding comparison'!O58</x:f>
        <x:v>22865</x:v>
      </x:c>
      <x:c r="M58" s="52" t="n">
        <x:f>'Riding comparison'!P58</x:f>
        <x:v>22896</x:v>
      </x:c>
      <x:c r="N58" s="53" t="n">
        <x:f>H58-B58</x:f>
        <x:v>0</x:v>
      </x:c>
      <x:c r="O58" s="53" t="n">
        <x:f>I58-C58</x:f>
        <x:v>0</x:v>
      </x:c>
      <x:c r="P58" s="53" t="n">
        <x:f>J58-D58</x:f>
        <x:v>0</x:v>
      </x:c>
      <x:c r="Q58" s="53" t="n">
        <x:f>K58-E58</x:f>
        <x:v>0</x:v>
      </x:c>
      <x:c r="R58" s="53" t="n">
        <x:f>L58-F58</x:f>
        <x:v>0</x:v>
      </x:c>
      <x:c r="S58" s="53" t="n">
        <x:f>M58-G58</x:f>
        <x:v>0</x:v>
      </x:c>
      <x:c r="T58" t="str">
        <x:f>IF(COUNTIF(N58:S58,"&lt;&gt;0")=0,"UNCHANGED","UPDATED")</x:f>
        <x:v>UNCHANGED</x:v>
      </x:c>
      <x:c r="U58" t="str">
        <x:v>https://results.elections.bc.ca/</x:v>
      </x:c>
      <x:c r="V58" t="str">
        <x:v>https://results.elections.bc.ca/</x:v>
      </x:c>
    </x:row>
    <x:row r="59" ht="19" customHeight="1">
      <x:c r="A59" t="str">
        <x:v>Powell River-Sunshine Coast</x:v>
      </x:c>
      <x:c r="B59" s="51" t="n">
        <x:v>12783</x:v>
      </x:c>
      <x:c r="C59" s="51" t="n">
        <x:v>10156</x:v>
      </x:c>
      <x:c r="D59" s="51" t="n">
        <x:v>3103</x:v>
      </x:c>
      <x:c r="E59" s="51" t="n">
        <x:v>0</x:v>
      </x:c>
      <x:c r="F59" s="51" t="n">
        <x:v>26042</x:v>
      </x:c>
      <x:c r="G59" s="51" t="n">
        <x:v>26082</x:v>
      </x:c>
      <x:c r="H59" s="52" t="n">
        <x:f>'Riding comparison'!K59</x:f>
        <x:v>12783</x:v>
      </x:c>
      <x:c r="I59" s="52" t="n">
        <x:f>'Riding comparison'!L59</x:f>
        <x:v>10156</x:v>
      </x:c>
      <x:c r="J59" s="52" t="n">
        <x:f>'Riding comparison'!M59</x:f>
        <x:v>3103</x:v>
      </x:c>
      <x:c r="K59" s="52" t="n">
        <x:f>'Riding comparison'!N59</x:f>
        <x:v>0</x:v>
      </x:c>
      <x:c r="L59" s="52" t="n">
        <x:f>'Riding comparison'!O59</x:f>
        <x:v>26042</x:v>
      </x:c>
      <x:c r="M59" s="52" t="n">
        <x:f>'Riding comparison'!P59</x:f>
        <x:v>26082</x:v>
      </x:c>
      <x:c r="N59" s="53" t="n">
        <x:f>H59-B59</x:f>
        <x:v>0</x:v>
      </x:c>
      <x:c r="O59" s="53" t="n">
        <x:f>I59-C59</x:f>
        <x:v>0</x:v>
      </x:c>
      <x:c r="P59" s="53" t="n">
        <x:f>J59-D59</x:f>
        <x:v>0</x:v>
      </x:c>
      <x:c r="Q59" s="53" t="n">
        <x:f>K59-E59</x:f>
        <x:v>0</x:v>
      </x:c>
      <x:c r="R59" s="53" t="n">
        <x:f>L59-F59</x:f>
        <x:v>0</x:v>
      </x:c>
      <x:c r="S59" s="53" t="n">
        <x:f>M59-G59</x:f>
        <x:v>0</x:v>
      </x:c>
      <x:c r="T59" t="str">
        <x:f>IF(COUNTIF(N59:S59,"&lt;&gt;0")=0,"UNCHANGED","UPDATED")</x:f>
        <x:v>UNCHANGED</x:v>
      </x:c>
      <x:c r="U59" t="str">
        <x:v>https://results.elections.bc.ca/</x:v>
      </x:c>
      <x:c r="V59" t="str">
        <x:v>https://results.elections.bc.ca/</x:v>
      </x:c>
    </x:row>
    <x:row r="60" ht="19" customHeight="1">
      <x:c r="A60" t="str">
        <x:v>Prince George-Mackenzie</x:v>
      </x:c>
      <x:c r="B60" s="51" t="n">
        <x:v>3532</x:v>
      </x:c>
      <x:c r="C60" s="51" t="n">
        <x:v>9926</x:v>
      </x:c>
      <x:c r="D60" s="51" t="n">
        <x:v>1517</x:v>
      </x:c>
      <x:c r="E60" s="51" t="n">
        <x:v>0</x:v>
      </x:c>
      <x:c r="F60" s="51" t="n">
        <x:v>14975</x:v>
      </x:c>
      <x:c r="G60" s="51" t="n">
        <x:v>15014</x:v>
      </x:c>
      <x:c r="H60" s="52" t="n">
        <x:f>'Riding comparison'!K60</x:f>
        <x:v>3532</x:v>
      </x:c>
      <x:c r="I60" s="52" t="n">
        <x:f>'Riding comparison'!L60</x:f>
        <x:v>9926</x:v>
      </x:c>
      <x:c r="J60" s="52" t="n">
        <x:f>'Riding comparison'!M60</x:f>
        <x:v>1517</x:v>
      </x:c>
      <x:c r="K60" s="52" t="n">
        <x:f>'Riding comparison'!N60</x:f>
        <x:v>0</x:v>
      </x:c>
      <x:c r="L60" s="52" t="n">
        <x:f>'Riding comparison'!O60</x:f>
        <x:v>14975</x:v>
      </x:c>
      <x:c r="M60" s="52" t="n">
        <x:f>'Riding comparison'!P60</x:f>
        <x:v>15014</x:v>
      </x:c>
      <x:c r="N60" s="53" t="n">
        <x:f>H60-B60</x:f>
        <x:v>0</x:v>
      </x:c>
      <x:c r="O60" s="53" t="n">
        <x:f>I60-C60</x:f>
        <x:v>0</x:v>
      </x:c>
      <x:c r="P60" s="53" t="n">
        <x:f>J60-D60</x:f>
        <x:v>0</x:v>
      </x:c>
      <x:c r="Q60" s="53" t="n">
        <x:f>K60-E60</x:f>
        <x:v>0</x:v>
      </x:c>
      <x:c r="R60" s="53" t="n">
        <x:f>L60-F60</x:f>
        <x:v>0</x:v>
      </x:c>
      <x:c r="S60" s="53" t="n">
        <x:f>M60-G60</x:f>
        <x:v>0</x:v>
      </x:c>
      <x:c r="T60" t="str">
        <x:f>IF(COUNTIF(N60:S60,"&lt;&gt;0")=0,"UNCHANGED","UPDATED")</x:f>
        <x:v>UNCHANGED</x:v>
      </x:c>
      <x:c r="U60" t="str">
        <x:v>https://results.elections.bc.ca/</x:v>
      </x:c>
      <x:c r="V60" t="str">
        <x:v>https://results.elections.bc.ca/</x:v>
      </x:c>
    </x:row>
    <x:row r="61" ht="19" customHeight="1">
      <x:c r="A61" t="str">
        <x:v>Prince George-North Cariboo</x:v>
      </x:c>
      <x:c r="B61" s="51" t="n">
        <x:v>3380</x:v>
      </x:c>
      <x:c r="C61" s="51" t="n">
        <x:v>11799</x:v>
      </x:c>
      <x:c r="D61" s="51" t="n">
        <x:v>1577</x:v>
      </x:c>
      <x:c r="E61" s="51" t="n">
        <x:v>0</x:v>
      </x:c>
      <x:c r="F61" s="51" t="n">
        <x:v>16756</x:v>
      </x:c>
      <x:c r="G61" s="51" t="n">
        <x:v>16792</x:v>
      </x:c>
      <x:c r="H61" s="52" t="n">
        <x:f>'Riding comparison'!K61</x:f>
        <x:v>3380</x:v>
      </x:c>
      <x:c r="I61" s="52" t="n">
        <x:f>'Riding comparison'!L61</x:f>
        <x:v>11799</x:v>
      </x:c>
      <x:c r="J61" s="52" t="n">
        <x:f>'Riding comparison'!M61</x:f>
        <x:v>1577</x:v>
      </x:c>
      <x:c r="K61" s="52" t="n">
        <x:f>'Riding comparison'!N61</x:f>
        <x:v>0</x:v>
      </x:c>
      <x:c r="L61" s="52" t="n">
        <x:f>'Riding comparison'!O61</x:f>
        <x:v>16756</x:v>
      </x:c>
      <x:c r="M61" s="52" t="n">
        <x:f>'Riding comparison'!P61</x:f>
        <x:v>16792</x:v>
      </x:c>
      <x:c r="N61" s="53" t="n">
        <x:f>H61-B61</x:f>
        <x:v>0</x:v>
      </x:c>
      <x:c r="O61" s="53" t="n">
        <x:f>I61-C61</x:f>
        <x:v>0</x:v>
      </x:c>
      <x:c r="P61" s="53" t="n">
        <x:f>J61-D61</x:f>
        <x:v>0</x:v>
      </x:c>
      <x:c r="Q61" s="53" t="n">
        <x:f>K61-E61</x:f>
        <x:v>0</x:v>
      </x:c>
      <x:c r="R61" s="53" t="n">
        <x:f>L61-F61</x:f>
        <x:v>0</x:v>
      </x:c>
      <x:c r="S61" s="53" t="n">
        <x:f>M61-G61</x:f>
        <x:v>0</x:v>
      </x:c>
      <x:c r="T61" t="str">
        <x:f>IF(COUNTIF(N61:S61,"&lt;&gt;0")=0,"UNCHANGED","UPDATED")</x:f>
        <x:v>UNCHANGED</x:v>
      </x:c>
      <x:c r="U61" t="str">
        <x:v>https://results.elections.bc.ca/</x:v>
      </x:c>
      <x:c r="V61" t="str">
        <x:v>https://results.elections.bc.ca/</x:v>
      </x:c>
    </x:row>
    <x:row r="62" ht="19" customHeight="1">
      <x:c r="A62" t="str">
        <x:v>Prince George-Valemount</x:v>
      </x:c>
      <x:c r="B62" s="51" t="n">
        <x:v>3774</x:v>
      </x:c>
      <x:c r="C62" s="51" t="n">
        <x:v>6597</x:v>
      </x:c>
      <x:c r="D62" s="51" t="n">
        <x:v>1502</x:v>
      </x:c>
      <x:c r="E62" s="51" t="n">
        <x:v>1027</x:v>
      </x:c>
      <x:c r="F62" s="51" t="n">
        <x:v>12900</x:v>
      </x:c>
      <x:c r="G62" s="51" t="n">
        <x:v>12923</x:v>
      </x:c>
      <x:c r="H62" s="52" t="n">
        <x:f>'Riding comparison'!K62</x:f>
        <x:v>3774</x:v>
      </x:c>
      <x:c r="I62" s="52" t="n">
        <x:f>'Riding comparison'!L62</x:f>
        <x:v>6597</x:v>
      </x:c>
      <x:c r="J62" s="52" t="n">
        <x:f>'Riding comparison'!M62</x:f>
        <x:v>1502</x:v>
      </x:c>
      <x:c r="K62" s="52" t="n">
        <x:f>'Riding comparison'!N62</x:f>
        <x:v>1027</x:v>
      </x:c>
      <x:c r="L62" s="52" t="n">
        <x:f>'Riding comparison'!O62</x:f>
        <x:v>12900</x:v>
      </x:c>
      <x:c r="M62" s="52" t="n">
        <x:f>'Riding comparison'!P62</x:f>
        <x:v>12923</x:v>
      </x:c>
      <x:c r="N62" s="53" t="n">
        <x:f>H62-B62</x:f>
        <x:v>0</x:v>
      </x:c>
      <x:c r="O62" s="53" t="n">
        <x:f>I62-C62</x:f>
        <x:v>0</x:v>
      </x:c>
      <x:c r="P62" s="53" t="n">
        <x:f>J62-D62</x:f>
        <x:v>0</x:v>
      </x:c>
      <x:c r="Q62" s="53" t="n">
        <x:f>K62-E62</x:f>
        <x:v>0</x:v>
      </x:c>
      <x:c r="R62" s="53" t="n">
        <x:f>L62-F62</x:f>
        <x:v>0</x:v>
      </x:c>
      <x:c r="S62" s="53" t="n">
        <x:f>M62-G62</x:f>
        <x:v>0</x:v>
      </x:c>
      <x:c r="T62" t="str">
        <x:f>IF(COUNTIF(N62:S62,"&lt;&gt;0")=0,"UNCHANGED","UPDATED")</x:f>
        <x:v>UNCHANGED</x:v>
      </x:c>
      <x:c r="U62" t="str">
        <x:v>https://results.elections.bc.ca/</x:v>
      </x:c>
      <x:c r="V62" t="str">
        <x:v>https://results.elections.bc.ca/</x:v>
      </x:c>
    </x:row>
    <x:row r="63" ht="19" customHeight="1">
      <x:c r="A63" t="str">
        <x:v>Richmond-Bridgeport</x:v>
      </x:c>
      <x:c r="B63" s="51" t="n">
        <x:v>4360</x:v>
      </x:c>
      <x:c r="C63" s="51" t="n">
        <x:v>9390</x:v>
      </x:c>
      <x:c r="D63" s="51" t="n">
        <x:v>0</x:v>
      </x:c>
      <x:c r="E63" s="51" t="n">
        <x:v>0</x:v>
      </x:c>
      <x:c r="F63" s="51" t="n">
        <x:v>13750</x:v>
      </x:c>
      <x:c r="G63" s="51" t="n">
        <x:v>13842</x:v>
      </x:c>
      <x:c r="H63" s="52" t="n">
        <x:f>'Riding comparison'!K63</x:f>
        <x:v>4360</x:v>
      </x:c>
      <x:c r="I63" s="52" t="n">
        <x:f>'Riding comparison'!L63</x:f>
        <x:v>9390</x:v>
      </x:c>
      <x:c r="J63" s="52" t="n">
        <x:f>'Riding comparison'!M63</x:f>
        <x:v>0</x:v>
      </x:c>
      <x:c r="K63" s="52" t="n">
        <x:f>'Riding comparison'!N63</x:f>
        <x:v>0</x:v>
      </x:c>
      <x:c r="L63" s="52" t="n">
        <x:f>'Riding comparison'!O63</x:f>
        <x:v>13750</x:v>
      </x:c>
      <x:c r="M63" s="52" t="n">
        <x:f>'Riding comparison'!P63</x:f>
        <x:v>13842</x:v>
      </x:c>
      <x:c r="N63" s="53" t="n">
        <x:f>H63-B63</x:f>
        <x:v>0</x:v>
      </x:c>
      <x:c r="O63" s="53" t="n">
        <x:f>I63-C63</x:f>
        <x:v>0</x:v>
      </x:c>
      <x:c r="P63" s="53" t="n">
        <x:f>J63-D63</x:f>
        <x:v>0</x:v>
      </x:c>
      <x:c r="Q63" s="53" t="n">
        <x:f>K63-E63</x:f>
        <x:v>0</x:v>
      </x:c>
      <x:c r="R63" s="53" t="n">
        <x:f>L63-F63</x:f>
        <x:v>0</x:v>
      </x:c>
      <x:c r="S63" s="53" t="n">
        <x:f>M63-G63</x:f>
        <x:v>0</x:v>
      </x:c>
      <x:c r="T63" t="str">
        <x:f>IF(COUNTIF(N63:S63,"&lt;&gt;0")=0,"UNCHANGED","UPDATED")</x:f>
        <x:v>UNCHANGED</x:v>
      </x:c>
      <x:c r="U63" t="str">
        <x:v>https://results.elections.bc.ca/</x:v>
      </x:c>
      <x:c r="V63" t="str">
        <x:v>https://results.elections.bc.ca/</x:v>
      </x:c>
    </x:row>
    <x:row r="64" ht="19" customHeight="1">
      <x:c r="A64" t="str">
        <x:v>Richmond Centre</x:v>
      </x:c>
      <x:c r="B64" s="51" t="n">
        <x:v>4356</x:v>
      </x:c>
      <x:c r="C64" s="51" t="n">
        <x:v>7414</x:v>
      </x:c>
      <x:c r="D64" s="51" t="n">
        <x:v>772</x:v>
      </x:c>
      <x:c r="E64" s="51" t="n">
        <x:v>321</x:v>
      </x:c>
      <x:c r="F64" s="51" t="n">
        <x:v>12863</x:v>
      </x:c>
      <x:c r="G64" s="51" t="n">
        <x:v>12901</x:v>
      </x:c>
      <x:c r="H64" s="52" t="n">
        <x:f>'Riding comparison'!K64</x:f>
        <x:v>4356</x:v>
      </x:c>
      <x:c r="I64" s="52" t="n">
        <x:f>'Riding comparison'!L64</x:f>
        <x:v>7414</x:v>
      </x:c>
      <x:c r="J64" s="52" t="n">
        <x:f>'Riding comparison'!M64</x:f>
        <x:v>772</x:v>
      </x:c>
      <x:c r="K64" s="52" t="n">
        <x:f>'Riding comparison'!N64</x:f>
        <x:v>321</x:v>
      </x:c>
      <x:c r="L64" s="52" t="n">
        <x:f>'Riding comparison'!O64</x:f>
        <x:v>12863</x:v>
      </x:c>
      <x:c r="M64" s="52" t="n">
        <x:f>'Riding comparison'!P64</x:f>
        <x:v>12901</x:v>
      </x:c>
      <x:c r="N64" s="53" t="n">
        <x:f>H64-B64</x:f>
        <x:v>0</x:v>
      </x:c>
      <x:c r="O64" s="53" t="n">
        <x:f>I64-C64</x:f>
        <x:v>0</x:v>
      </x:c>
      <x:c r="P64" s="53" t="n">
        <x:f>J64-D64</x:f>
        <x:v>0</x:v>
      </x:c>
      <x:c r="Q64" s="53" t="n">
        <x:f>K64-E64</x:f>
        <x:v>0</x:v>
      </x:c>
      <x:c r="R64" s="53" t="n">
        <x:f>L64-F64</x:f>
        <x:v>0</x:v>
      </x:c>
      <x:c r="S64" s="53" t="n">
        <x:f>M64-G64</x:f>
        <x:v>0</x:v>
      </x:c>
      <x:c r="T64" t="str">
        <x:f>IF(COUNTIF(N64:S64,"&lt;&gt;0")=0,"UNCHANGED","UPDATED")</x:f>
        <x:v>UNCHANGED</x:v>
      </x:c>
      <x:c r="U64" t="str">
        <x:v>https://results.elections.bc.ca/</x:v>
      </x:c>
      <x:c r="V64" t="str">
        <x:v>https://results.elections.bc.ca/</x:v>
      </x:c>
    </x:row>
    <x:row r="65" ht="19" customHeight="1">
      <x:c r="A65" t="str">
        <x:v>Richmond-Queensborough</x:v>
      </x:c>
      <x:c r="B65" s="51" t="n">
        <x:v>5453</x:v>
      </x:c>
      <x:c r="C65" s="51" t="n">
        <x:v>9642</x:v>
      </x:c>
      <x:c r="D65" s="51" t="n">
        <x:v>1239</x:v>
      </x:c>
      <x:c r="E65" s="51" t="n">
        <x:v>0</x:v>
      </x:c>
      <x:c r="F65" s="51" t="n">
        <x:v>16334</x:v>
      </x:c>
      <x:c r="G65" s="51" t="n">
        <x:v>16387</x:v>
      </x:c>
      <x:c r="H65" s="52" t="n">
        <x:f>'Riding comparison'!K65</x:f>
        <x:v>5453</x:v>
      </x:c>
      <x:c r="I65" s="52" t="n">
        <x:f>'Riding comparison'!L65</x:f>
        <x:v>9642</x:v>
      </x:c>
      <x:c r="J65" s="52" t="n">
        <x:f>'Riding comparison'!M65</x:f>
        <x:v>1239</x:v>
      </x:c>
      <x:c r="K65" s="52" t="n">
        <x:f>'Riding comparison'!N65</x:f>
        <x:v>0</x:v>
      </x:c>
      <x:c r="L65" s="52" t="n">
        <x:f>'Riding comparison'!O65</x:f>
        <x:v>16334</x:v>
      </x:c>
      <x:c r="M65" s="52" t="n">
        <x:f>'Riding comparison'!P65</x:f>
        <x:v>16387</x:v>
      </x:c>
      <x:c r="N65" s="53" t="n">
        <x:f>H65-B65</x:f>
        <x:v>0</x:v>
      </x:c>
      <x:c r="O65" s="53" t="n">
        <x:f>I65-C65</x:f>
        <x:v>0</x:v>
      </x:c>
      <x:c r="P65" s="53" t="n">
        <x:f>J65-D65</x:f>
        <x:v>0</x:v>
      </x:c>
      <x:c r="Q65" s="53" t="n">
        <x:f>K65-E65</x:f>
        <x:v>0</x:v>
      </x:c>
      <x:c r="R65" s="53" t="n">
        <x:f>L65-F65</x:f>
        <x:v>0</x:v>
      </x:c>
      <x:c r="S65" s="53" t="n">
        <x:f>M65-G65</x:f>
        <x:v>0</x:v>
      </x:c>
      <x:c r="T65" t="str">
        <x:f>IF(COUNTIF(N65:S65,"&lt;&gt;0")=0,"UNCHANGED","UPDATED")</x:f>
        <x:v>UNCHANGED</x:v>
      </x:c>
      <x:c r="U65" t="str">
        <x:v>https://results.elections.bc.ca/</x:v>
      </x:c>
      <x:c r="V65" t="str">
        <x:v>https://results.elections.bc.ca/</x:v>
      </x:c>
    </x:row>
    <x:row r="66" ht="19" customHeight="1">
      <x:c r="A66" t="str">
        <x:v>Richmond-Steveston</x:v>
      </x:c>
      <x:c r="B66" s="51" t="n">
        <x:v>7002</x:v>
      </x:c>
      <x:c r="C66" s="51" t="n">
        <x:v>10843</x:v>
      </x:c>
      <x:c r="D66" s="51" t="n">
        <x:v>0</x:v>
      </x:c>
      <x:c r="E66" s="51" t="n">
        <x:v>2168</x:v>
      </x:c>
      <x:c r="F66" s="51" t="n">
        <x:v>20013</x:v>
      </x:c>
      <x:c r="G66" s="51" t="n">
        <x:v>20066</x:v>
      </x:c>
      <x:c r="H66" s="52" t="n">
        <x:f>'Riding comparison'!K66</x:f>
        <x:v>7002</x:v>
      </x:c>
      <x:c r="I66" s="52" t="n">
        <x:f>'Riding comparison'!L66</x:f>
        <x:v>10843</x:v>
      </x:c>
      <x:c r="J66" s="52" t="n">
        <x:f>'Riding comparison'!M66</x:f>
        <x:v>0</x:v>
      </x:c>
      <x:c r="K66" s="52" t="n">
        <x:f>'Riding comparison'!N66</x:f>
        <x:v>2168</x:v>
      </x:c>
      <x:c r="L66" s="52" t="n">
        <x:f>'Riding comparison'!O66</x:f>
        <x:v>20013</x:v>
      </x:c>
      <x:c r="M66" s="52" t="n">
        <x:f>'Riding comparison'!P66</x:f>
        <x:v>20066</x:v>
      </x:c>
      <x:c r="N66" s="53" t="n">
        <x:f>H66-B66</x:f>
        <x:v>0</x:v>
      </x:c>
      <x:c r="O66" s="53" t="n">
        <x:f>I66-C66</x:f>
        <x:v>0</x:v>
      </x:c>
      <x:c r="P66" s="53" t="n">
        <x:f>J66-D66</x:f>
        <x:v>0</x:v>
      </x:c>
      <x:c r="Q66" s="53" t="n">
        <x:f>K66-E66</x:f>
        <x:v>0</x:v>
      </x:c>
      <x:c r="R66" s="53" t="n">
        <x:f>L66-F66</x:f>
        <x:v>0</x:v>
      </x:c>
      <x:c r="S66" s="53" t="n">
        <x:f>M66-G66</x:f>
        <x:v>0</x:v>
      </x:c>
      <x:c r="T66" t="str">
        <x:f>IF(COUNTIF(N66:S66,"&lt;&gt;0")=0,"UNCHANGED","UPDATED")</x:f>
        <x:v>UNCHANGED</x:v>
      </x:c>
      <x:c r="U66" t="str">
        <x:v>https://results.elections.bc.ca/</x:v>
      </x:c>
      <x:c r="V66" t="str">
        <x:v>https://results.elections.bc.ca/</x:v>
      </x:c>
    </x:row>
    <x:row r="67" ht="19" customHeight="1">
      <x:c r="A67" t="str">
        <x:v>Saanich North and the Islands</x:v>
      </x:c>
      <x:c r="B67" s="51" t="n">
        <x:v>5225</x:v>
      </x:c>
      <x:c r="C67" s="51" t="n">
        <x:v>9464</x:v>
      </x:c>
      <x:c r="D67" s="51" t="n">
        <x:v>14481</x:v>
      </x:c>
      <x:c r="E67" s="51" t="n">
        <x:v>698</x:v>
      </x:c>
      <x:c r="F67" s="51" t="n">
        <x:v>29868</x:v>
      </x:c>
      <x:c r="G67" s="51" t="n">
        <x:v>29894</x:v>
      </x:c>
      <x:c r="H67" s="52" t="n">
        <x:f>'Riding comparison'!K67</x:f>
        <x:v>5225</x:v>
      </x:c>
      <x:c r="I67" s="52" t="n">
        <x:f>'Riding comparison'!L67</x:f>
        <x:v>9464</x:v>
      </x:c>
      <x:c r="J67" s="52" t="n">
        <x:f>'Riding comparison'!M67</x:f>
        <x:v>14481</x:v>
      </x:c>
      <x:c r="K67" s="52" t="n">
        <x:f>'Riding comparison'!N67</x:f>
        <x:v>698</x:v>
      </x:c>
      <x:c r="L67" s="52" t="n">
        <x:f>'Riding comparison'!O67</x:f>
        <x:v>29868</x:v>
      </x:c>
      <x:c r="M67" s="52" t="n">
        <x:f>'Riding comparison'!P67</x:f>
        <x:v>29894</x:v>
      </x:c>
      <x:c r="N67" s="53" t="n">
        <x:f>H67-B67</x:f>
        <x:v>0</x:v>
      </x:c>
      <x:c r="O67" s="53" t="n">
        <x:f>I67-C67</x:f>
        <x:v>0</x:v>
      </x:c>
      <x:c r="P67" s="53" t="n">
        <x:f>J67-D67</x:f>
        <x:v>0</x:v>
      </x:c>
      <x:c r="Q67" s="53" t="n">
        <x:f>K67-E67</x:f>
        <x:v>0</x:v>
      </x:c>
      <x:c r="R67" s="53" t="n">
        <x:f>L67-F67</x:f>
        <x:v>0</x:v>
      </x:c>
      <x:c r="S67" s="53" t="n">
        <x:f>M67-G67</x:f>
        <x:v>0</x:v>
      </x:c>
      <x:c r="T67" t="str">
        <x:f>IF(COUNTIF(N67:S67,"&lt;&gt;0")=0,"UNCHANGED","UPDATED")</x:f>
        <x:v>UNCHANGED</x:v>
      </x:c>
      <x:c r="U67" t="str">
        <x:v>https://results.elections.bc.ca/</x:v>
      </x:c>
      <x:c r="V67" t="str">
        <x:v>https://results.elections.bc.ca/</x:v>
      </x:c>
    </x:row>
    <x:row r="68" ht="19" customHeight="1">
      <x:c r="A68" t="str">
        <x:v>Saanich South</x:v>
      </x:c>
      <x:c r="B68" s="51" t="n">
        <x:v>9322</x:v>
      </x:c>
      <x:c r="C68" s="51" t="n">
        <x:v>10549</x:v>
      </x:c>
      <x:c r="D68" s="51" t="n">
        <x:v>6985</x:v>
      </x:c>
      <x:c r="E68" s="51" t="n">
        <x:v>0</x:v>
      </x:c>
      <x:c r="F68" s="51" t="n">
        <x:v>26856</x:v>
      </x:c>
      <x:c r="G68" s="51" t="n">
        <x:v>26881</x:v>
      </x:c>
      <x:c r="H68" s="52" t="n">
        <x:f>'Riding comparison'!K68</x:f>
        <x:v>9322</x:v>
      </x:c>
      <x:c r="I68" s="52" t="n">
        <x:f>'Riding comparison'!L68</x:f>
        <x:v>10549</x:v>
      </x:c>
      <x:c r="J68" s="52" t="n">
        <x:f>'Riding comparison'!M68</x:f>
        <x:v>6985</x:v>
      </x:c>
      <x:c r="K68" s="52" t="n">
        <x:f>'Riding comparison'!N68</x:f>
        <x:v>0</x:v>
      </x:c>
      <x:c r="L68" s="52" t="n">
        <x:f>'Riding comparison'!O68</x:f>
        <x:v>26856</x:v>
      </x:c>
      <x:c r="M68" s="52" t="n">
        <x:f>'Riding comparison'!P68</x:f>
        <x:v>26881</x:v>
      </x:c>
      <x:c r="N68" s="53" t="n">
        <x:f>H68-B68</x:f>
        <x:v>0</x:v>
      </x:c>
      <x:c r="O68" s="53" t="n">
        <x:f>I68-C68</x:f>
        <x:v>0</x:v>
      </x:c>
      <x:c r="P68" s="53" t="n">
        <x:f>J68-D68</x:f>
        <x:v>0</x:v>
      </x:c>
      <x:c r="Q68" s="53" t="n">
        <x:f>K68-E68</x:f>
        <x:v>0</x:v>
      </x:c>
      <x:c r="R68" s="53" t="n">
        <x:f>L68-F68</x:f>
        <x:v>0</x:v>
      </x:c>
      <x:c r="S68" s="53" t="n">
        <x:f>M68-G68</x:f>
        <x:v>0</x:v>
      </x:c>
      <x:c r="T68" t="str">
        <x:f>IF(COUNTIF(N68:S68,"&lt;&gt;0")=0,"UNCHANGED","UPDATED")</x:f>
        <x:v>UNCHANGED</x:v>
      </x:c>
      <x:c r="U68" t="str">
        <x:v>https://results.elections.bc.ca/</x:v>
      </x:c>
      <x:c r="V68" t="str">
        <x:v>https://results.elections.bc.ca/</x:v>
      </x:c>
    </x:row>
    <x:row r="69" ht="19" customHeight="1">
      <x:c r="A69" t="str">
        <x:v>Salmon Arm-Shuswap</x:v>
      </x:c>
      <x:c r="B69" s="51" t="n">
        <x:v>7906</x:v>
      </x:c>
      <x:c r="C69" s="51" t="n">
        <x:v>15421</x:v>
      </x:c>
      <x:c r="D69" s="51" t="n">
        <x:v>2312</x:v>
      </x:c>
      <x:c r="E69" s="51" t="n">
        <x:v>2469</x:v>
      </x:c>
      <x:c r="F69" s="51" t="n">
        <x:v>28108</x:v>
      </x:c>
      <x:c r="G69" s="51" t="n">
        <x:v>28152</x:v>
      </x:c>
      <x:c r="H69" s="52" t="n">
        <x:f>'Riding comparison'!K69</x:f>
        <x:v>7906</x:v>
      </x:c>
      <x:c r="I69" s="52" t="n">
        <x:f>'Riding comparison'!L69</x:f>
        <x:v>15421</x:v>
      </x:c>
      <x:c r="J69" s="52" t="n">
        <x:f>'Riding comparison'!M69</x:f>
        <x:v>2312</x:v>
      </x:c>
      <x:c r="K69" s="52" t="n">
        <x:f>'Riding comparison'!N69</x:f>
        <x:v>2469</x:v>
      </x:c>
      <x:c r="L69" s="52" t="n">
        <x:f>'Riding comparison'!O69</x:f>
        <x:v>28108</x:v>
      </x:c>
      <x:c r="M69" s="52" t="n">
        <x:f>'Riding comparison'!P69</x:f>
        <x:v>28152</x:v>
      </x:c>
      <x:c r="N69" s="53" t="n">
        <x:f>H69-B69</x:f>
        <x:v>0</x:v>
      </x:c>
      <x:c r="O69" s="53" t="n">
        <x:f>I69-C69</x:f>
        <x:v>0</x:v>
      </x:c>
      <x:c r="P69" s="53" t="n">
        <x:f>J69-D69</x:f>
        <x:v>0</x:v>
      </x:c>
      <x:c r="Q69" s="53" t="n">
        <x:f>K69-E69</x:f>
        <x:v>0</x:v>
      </x:c>
      <x:c r="R69" s="53" t="n">
        <x:f>L69-F69</x:f>
        <x:v>0</x:v>
      </x:c>
      <x:c r="S69" s="53" t="n">
        <x:f>M69-G69</x:f>
        <x:v>0</x:v>
      </x:c>
      <x:c r="T69" t="str">
        <x:f>IF(COUNTIF(N69:S69,"&lt;&gt;0")=0,"UNCHANGED","UPDATED")</x:f>
        <x:v>UNCHANGED</x:v>
      </x:c>
      <x:c r="U69" t="str">
        <x:v>https://results.elections.bc.ca/</x:v>
      </x:c>
      <x:c r="V69" t="str">
        <x:v>https://results.elections.bc.ca/</x:v>
      </x:c>
    </x:row>
    <x:row r="70" ht="19" customHeight="1">
      <x:c r="A70" t="str">
        <x:v>Skeena</x:v>
      </x:c>
      <x:c r="B70" s="51" t="n">
        <x:v>4106</x:v>
      </x:c>
      <x:c r="C70" s="51" t="n">
        <x:v>5634</x:v>
      </x:c>
      <x:c r="D70" s="51" t="n">
        <x:v>919</x:v>
      </x:c>
      <x:c r="E70" s="51" t="n">
        <x:v>281</x:v>
      </x:c>
      <x:c r="F70" s="51" t="n">
        <x:v>10940</x:v>
      </x:c>
      <x:c r="G70" s="51" t="n">
        <x:v>10960</x:v>
      </x:c>
      <x:c r="H70" s="52" t="n">
        <x:f>'Riding comparison'!K70</x:f>
        <x:v>4106</x:v>
      </x:c>
      <x:c r="I70" s="52" t="n">
        <x:f>'Riding comparison'!L70</x:f>
        <x:v>5634</x:v>
      </x:c>
      <x:c r="J70" s="52" t="n">
        <x:f>'Riding comparison'!M70</x:f>
        <x:v>919</x:v>
      </x:c>
      <x:c r="K70" s="52" t="n">
        <x:f>'Riding comparison'!N70</x:f>
        <x:v>281</x:v>
      </x:c>
      <x:c r="L70" s="52" t="n">
        <x:f>'Riding comparison'!O70</x:f>
        <x:v>10940</x:v>
      </x:c>
      <x:c r="M70" s="52" t="n">
        <x:f>'Riding comparison'!P70</x:f>
        <x:v>10960</x:v>
      </x:c>
      <x:c r="N70" s="53" t="n">
        <x:f>H70-B70</x:f>
        <x:v>0</x:v>
      </x:c>
      <x:c r="O70" s="53" t="n">
        <x:f>I70-C70</x:f>
        <x:v>0</x:v>
      </x:c>
      <x:c r="P70" s="53" t="n">
        <x:f>J70-D70</x:f>
        <x:v>0</x:v>
      </x:c>
      <x:c r="Q70" s="53" t="n">
        <x:f>K70-E70</x:f>
        <x:v>0</x:v>
      </x:c>
      <x:c r="R70" s="53" t="n">
        <x:f>L70-F70</x:f>
        <x:v>0</x:v>
      </x:c>
      <x:c r="S70" s="53" t="n">
        <x:f>M70-G70</x:f>
        <x:v>0</x:v>
      </x:c>
      <x:c r="T70" t="str">
        <x:f>IF(COUNTIF(N70:S70,"&lt;&gt;0")=0,"UNCHANGED","UPDATED")</x:f>
        <x:v>UNCHANGED</x:v>
      </x:c>
      <x:c r="U70" t="str">
        <x:v>https://results.elections.bc.ca/</x:v>
      </x:c>
      <x:c r="V70" t="str">
        <x:v>https://results.elections.bc.ca/</x:v>
      </x:c>
    </x:row>
    <x:row r="71" ht="19" customHeight="1">
      <x:c r="A71" t="str">
        <x:v>Surrey City Centre</x:v>
      </x:c>
      <x:c r="B71" s="51" t="n">
        <x:v>5318</x:v>
      </x:c>
      <x:c r="C71" s="51" t="n">
        <x:v>5713</x:v>
      </x:c>
      <x:c r="D71" s="51" t="n">
        <x:v>0</x:v>
      </x:c>
      <x:c r="E71" s="51" t="n">
        <x:v>1001</x:v>
      </x:c>
      <x:c r="F71" s="51" t="n">
        <x:v>12032</x:v>
      </x:c>
      <x:c r="G71" s="51" t="n">
        <x:v>12067</x:v>
      </x:c>
      <x:c r="H71" s="52" t="n">
        <x:f>'Riding comparison'!K71</x:f>
        <x:v>5318</x:v>
      </x:c>
      <x:c r="I71" s="52" t="n">
        <x:f>'Riding comparison'!L71</x:f>
        <x:v>5713</x:v>
      </x:c>
      <x:c r="J71" s="52" t="n">
        <x:f>'Riding comparison'!M71</x:f>
        <x:v>0</x:v>
      </x:c>
      <x:c r="K71" s="52" t="n">
        <x:f>'Riding comparison'!N71</x:f>
        <x:v>1001</x:v>
      </x:c>
      <x:c r="L71" s="52" t="n">
        <x:f>'Riding comparison'!O71</x:f>
        <x:v>12032</x:v>
      </x:c>
      <x:c r="M71" s="52" t="n">
        <x:f>'Riding comparison'!P71</x:f>
        <x:v>12067</x:v>
      </x:c>
      <x:c r="N71" s="53" t="n">
        <x:f>H71-B71</x:f>
        <x:v>0</x:v>
      </x:c>
      <x:c r="O71" s="53" t="n">
        <x:f>I71-C71</x:f>
        <x:v>0</x:v>
      </x:c>
      <x:c r="P71" s="53" t="n">
        <x:f>J71-D71</x:f>
        <x:v>0</x:v>
      </x:c>
      <x:c r="Q71" s="53" t="n">
        <x:f>K71-E71</x:f>
        <x:v>0</x:v>
      </x:c>
      <x:c r="R71" s="53" t="n">
        <x:f>L71-F71</x:f>
        <x:v>0</x:v>
      </x:c>
      <x:c r="S71" s="53" t="n">
        <x:f>M71-G71</x:f>
        <x:v>0</x:v>
      </x:c>
      <x:c r="T71" t="str">
        <x:f>IF(COUNTIF(N71:S71,"&lt;&gt;0")=0,"UNCHANGED","UPDATED")</x:f>
        <x:v>UNCHANGED</x:v>
      </x:c>
      <x:c r="U71" t="str">
        <x:v>https://results.elections.bc.ca/</x:v>
      </x:c>
      <x:c r="V71" t="str">
        <x:v>https://results.elections.bc.ca/</x:v>
      </x:c>
    </x:row>
    <x:row r="72" ht="19" customHeight="1">
      <x:c r="A72" t="str">
        <x:v>Surrey-Cloverdale</x:v>
      </x:c>
      <x:c r="B72" s="51" t="n">
        <x:v>5846</x:v>
      </x:c>
      <x:c r="C72" s="51" t="n">
        <x:v>9151</x:v>
      </x:c>
      <x:c r="D72" s="51" t="n">
        <x:v>1314</x:v>
      </x:c>
      <x:c r="E72" s="51" t="n">
        <x:v>1129</x:v>
      </x:c>
      <x:c r="F72" s="51" t="n">
        <x:v>17440</x:v>
      </x:c>
      <x:c r="G72" s="51" t="n">
        <x:v>17455</x:v>
      </x:c>
      <x:c r="H72" s="52" t="n">
        <x:f>'Riding comparison'!K72</x:f>
        <x:v>5846</x:v>
      </x:c>
      <x:c r="I72" s="52" t="n">
        <x:f>'Riding comparison'!L72</x:f>
        <x:v>9151</x:v>
      </x:c>
      <x:c r="J72" s="52" t="n">
        <x:f>'Riding comparison'!M72</x:f>
        <x:v>1314</x:v>
      </x:c>
      <x:c r="K72" s="52" t="n">
        <x:f>'Riding comparison'!N72</x:f>
        <x:v>1129</x:v>
      </x:c>
      <x:c r="L72" s="52" t="n">
        <x:f>'Riding comparison'!O72</x:f>
        <x:v>17440</x:v>
      </x:c>
      <x:c r="M72" s="52" t="n">
        <x:f>'Riding comparison'!P72</x:f>
        <x:v>17455</x:v>
      </x:c>
      <x:c r="N72" s="53" t="n">
        <x:f>H72-B72</x:f>
        <x:v>0</x:v>
      </x:c>
      <x:c r="O72" s="53" t="n">
        <x:f>I72-C72</x:f>
        <x:v>0</x:v>
      </x:c>
      <x:c r="P72" s="53" t="n">
        <x:f>J72-D72</x:f>
        <x:v>0</x:v>
      </x:c>
      <x:c r="Q72" s="53" t="n">
        <x:f>K72-E72</x:f>
        <x:v>0</x:v>
      </x:c>
      <x:c r="R72" s="53" t="n">
        <x:f>L72-F72</x:f>
        <x:v>0</x:v>
      </x:c>
      <x:c r="S72" s="53" t="n">
        <x:f>M72-G72</x:f>
        <x:v>0</x:v>
      </x:c>
      <x:c r="T72" t="str">
        <x:f>IF(COUNTIF(N72:S72,"&lt;&gt;0")=0,"UNCHANGED","UPDATED")</x:f>
        <x:v>UNCHANGED</x:v>
      </x:c>
      <x:c r="U72" t="str">
        <x:v>https://results.elections.bc.ca/</x:v>
      </x:c>
      <x:c r="V72" t="str">
        <x:v>https://results.elections.bc.ca/</x:v>
      </x:c>
    </x:row>
    <x:row r="73" ht="19" customHeight="1">
      <x:c r="A73" t="str">
        <x:v>Surrey-Fleetwood</x:v>
      </x:c>
      <x:c r="B73" s="51" t="n">
        <x:v>6522</x:v>
      </x:c>
      <x:c r="C73" s="51" t="n">
        <x:v>8691</x:v>
      </x:c>
      <x:c r="D73" s="51" t="n">
        <x:v>1030</x:v>
      </x:c>
      <x:c r="E73" s="51" t="n">
        <x:v>893</x:v>
      </x:c>
      <x:c r="F73" s="51" t="n">
        <x:v>17136</x:v>
      </x:c>
      <x:c r="G73" s="51" t="n">
        <x:v>17162</x:v>
      </x:c>
      <x:c r="H73" s="52" t="n">
        <x:f>'Riding comparison'!K73</x:f>
        <x:v>6522</x:v>
      </x:c>
      <x:c r="I73" s="52" t="n">
        <x:f>'Riding comparison'!L73</x:f>
        <x:v>8691</x:v>
      </x:c>
      <x:c r="J73" s="52" t="n">
        <x:f>'Riding comparison'!M73</x:f>
        <x:v>1030</x:v>
      </x:c>
      <x:c r="K73" s="52" t="n">
        <x:f>'Riding comparison'!N73</x:f>
        <x:v>893</x:v>
      </x:c>
      <x:c r="L73" s="52" t="n">
        <x:f>'Riding comparison'!O73</x:f>
        <x:v>17136</x:v>
      </x:c>
      <x:c r="M73" s="52" t="n">
        <x:f>'Riding comparison'!P73</x:f>
        <x:v>17162</x:v>
      </x:c>
      <x:c r="N73" s="53" t="n">
        <x:f>H73-B73</x:f>
        <x:v>0</x:v>
      </x:c>
      <x:c r="O73" s="53" t="n">
        <x:f>I73-C73</x:f>
        <x:v>0</x:v>
      </x:c>
      <x:c r="P73" s="53" t="n">
        <x:f>J73-D73</x:f>
        <x:v>0</x:v>
      </x:c>
      <x:c r="Q73" s="53" t="n">
        <x:f>K73-E73</x:f>
        <x:v>0</x:v>
      </x:c>
      <x:c r="R73" s="53" t="n">
        <x:f>L73-F73</x:f>
        <x:v>0</x:v>
      </x:c>
      <x:c r="S73" s="53" t="n">
        <x:f>M73-G73</x:f>
        <x:v>0</x:v>
      </x:c>
      <x:c r="T73" t="str">
        <x:f>IF(COUNTIF(N73:S73,"&lt;&gt;0")=0,"UNCHANGED","UPDATED")</x:f>
        <x:v>UNCHANGED</x:v>
      </x:c>
      <x:c r="U73" t="str">
        <x:v>https://results.elections.bc.ca/</x:v>
      </x:c>
      <x:c r="V73" t="str">
        <x:v>https://results.elections.bc.ca/</x:v>
      </x:c>
    </x:row>
    <x:row r="74" ht="19" customHeight="1">
      <x:c r="A74" t="str">
        <x:v>Surrey-Guildford</x:v>
      </x:c>
      <x:c r="B74" s="51" t="n">
        <x:v>6269</x:v>
      </x:c>
      <x:c r="C74" s="51" t="n">
        <x:v>7741</x:v>
      </x:c>
      <x:c r="D74" s="51" t="n">
        <x:v>964</x:v>
      </x:c>
      <x:c r="E74" s="51" t="n">
        <x:v>307</x:v>
      </x:c>
      <x:c r="F74" s="51" t="n">
        <x:v>15281</x:v>
      </x:c>
      <x:c r="G74" s="51" t="n">
        <x:v>15315</x:v>
      </x:c>
      <x:c r="H74" s="52" t="n">
        <x:f>'Riding comparison'!K74</x:f>
        <x:v>6269</x:v>
      </x:c>
      <x:c r="I74" s="52" t="n">
        <x:f>'Riding comparison'!L74</x:f>
        <x:v>7741</x:v>
      </x:c>
      <x:c r="J74" s="52" t="n">
        <x:f>'Riding comparison'!M74</x:f>
        <x:v>964</x:v>
      </x:c>
      <x:c r="K74" s="52" t="n">
        <x:f>'Riding comparison'!N74</x:f>
        <x:v>307</x:v>
      </x:c>
      <x:c r="L74" s="52" t="n">
        <x:f>'Riding comparison'!O74</x:f>
        <x:v>15281</x:v>
      </x:c>
      <x:c r="M74" s="52" t="n">
        <x:f>'Riding comparison'!P74</x:f>
        <x:v>15315</x:v>
      </x:c>
      <x:c r="N74" s="53" t="n">
        <x:f>H74-B74</x:f>
        <x:v>0</x:v>
      </x:c>
      <x:c r="O74" s="53" t="n">
        <x:f>I74-C74</x:f>
        <x:v>0</x:v>
      </x:c>
      <x:c r="P74" s="53" t="n">
        <x:f>J74-D74</x:f>
        <x:v>0</x:v>
      </x:c>
      <x:c r="Q74" s="53" t="n">
        <x:f>K74-E74</x:f>
        <x:v>0</x:v>
      </x:c>
      <x:c r="R74" s="53" t="n">
        <x:f>L74-F74</x:f>
        <x:v>0</x:v>
      </x:c>
      <x:c r="S74" s="53" t="n">
        <x:f>M74-G74</x:f>
        <x:v>0</x:v>
      </x:c>
      <x:c r="T74" t="str">
        <x:f>IF(COUNTIF(N74:S74,"&lt;&gt;0")=0,"UNCHANGED","UPDATED")</x:f>
        <x:v>UNCHANGED</x:v>
      </x:c>
      <x:c r="U74" t="str">
        <x:v>https://results.elections.bc.ca/</x:v>
      </x:c>
      <x:c r="V74" t="str">
        <x:v>https://results.elections.bc.ca/</x:v>
      </x:c>
    </x:row>
    <x:row r="75" ht="19" customHeight="1">
      <x:c r="A75" t="str">
        <x:v>Surrey-Newton</x:v>
      </x:c>
      <x:c r="B75" s="51" t="n">
        <x:v>5476</x:v>
      </x:c>
      <x:c r="C75" s="51" t="n">
        <x:v>7334</x:v>
      </x:c>
      <x:c r="D75" s="51" t="n">
        <x:v>0</x:v>
      </x:c>
      <x:c r="E75" s="51" t="n">
        <x:v>645</x:v>
      </x:c>
      <x:c r="F75" s="51" t="n">
        <x:v>13455</x:v>
      </x:c>
      <x:c r="G75" s="51" t="n">
        <x:v>13498</x:v>
      </x:c>
      <x:c r="H75" s="52" t="n">
        <x:f>'Riding comparison'!K75</x:f>
        <x:v>5476</x:v>
      </x:c>
      <x:c r="I75" s="52" t="n">
        <x:f>'Riding comparison'!L75</x:f>
        <x:v>7334</x:v>
      </x:c>
      <x:c r="J75" s="52" t="n">
        <x:f>'Riding comparison'!M75</x:f>
        <x:v>0</x:v>
      </x:c>
      <x:c r="K75" s="52" t="n">
        <x:f>'Riding comparison'!N75</x:f>
        <x:v>645</x:v>
      </x:c>
      <x:c r="L75" s="52" t="n">
        <x:f>'Riding comparison'!O75</x:f>
        <x:v>13455</x:v>
      </x:c>
      <x:c r="M75" s="52" t="n">
        <x:f>'Riding comparison'!P75</x:f>
        <x:v>13498</x:v>
      </x:c>
      <x:c r="N75" s="53" t="n">
        <x:f>H75-B75</x:f>
        <x:v>0</x:v>
      </x:c>
      <x:c r="O75" s="53" t="n">
        <x:f>I75-C75</x:f>
        <x:v>0</x:v>
      </x:c>
      <x:c r="P75" s="53" t="n">
        <x:f>J75-D75</x:f>
        <x:v>0</x:v>
      </x:c>
      <x:c r="Q75" s="53" t="n">
        <x:f>K75-E75</x:f>
        <x:v>0</x:v>
      </x:c>
      <x:c r="R75" s="53" t="n">
        <x:f>L75-F75</x:f>
        <x:v>0</x:v>
      </x:c>
      <x:c r="S75" s="53" t="n">
        <x:f>M75-G75</x:f>
        <x:v>0</x:v>
      </x:c>
      <x:c r="T75" t="str">
        <x:f>IF(COUNTIF(N75:S75,"&lt;&gt;0")=0,"UNCHANGED","UPDATED")</x:f>
        <x:v>UNCHANGED</x:v>
      </x:c>
      <x:c r="U75" t="str">
        <x:v>https://results.elections.bc.ca/</x:v>
      </x:c>
      <x:c r="V75" t="str">
        <x:v>https://results.elections.bc.ca/</x:v>
      </x:c>
    </x:row>
    <x:row r="76" ht="19" customHeight="1">
      <x:c r="A76" t="str">
        <x:v>Surrey North</x:v>
      </x:c>
      <x:c r="B76" s="51" t="n">
        <x:v>4280</x:v>
      </x:c>
      <x:c r="C76" s="51" t="n">
        <x:v>7535</x:v>
      </x:c>
      <x:c r="D76" s="51" t="n">
        <x:v>574</x:v>
      </x:c>
      <x:c r="E76" s="51" t="n">
        <x:v>624</x:v>
      </x:c>
      <x:c r="F76" s="51" t="n">
        <x:v>13013</x:v>
      </x:c>
      <x:c r="G76" s="51" t="n">
        <x:v>13064</x:v>
      </x:c>
      <x:c r="H76" s="52" t="n">
        <x:f>'Riding comparison'!K76</x:f>
        <x:v>4280</x:v>
      </x:c>
      <x:c r="I76" s="52" t="n">
        <x:f>'Riding comparison'!L76</x:f>
        <x:v>7535</x:v>
      </x:c>
      <x:c r="J76" s="52" t="n">
        <x:f>'Riding comparison'!M76</x:f>
        <x:v>574</x:v>
      </x:c>
      <x:c r="K76" s="52" t="n">
        <x:f>'Riding comparison'!N76</x:f>
        <x:v>624</x:v>
      </x:c>
      <x:c r="L76" s="52" t="n">
        <x:f>'Riding comparison'!O76</x:f>
        <x:v>13013</x:v>
      </x:c>
      <x:c r="M76" s="52" t="n">
        <x:f>'Riding comparison'!P76</x:f>
        <x:v>13064</x:v>
      </x:c>
      <x:c r="N76" s="53" t="n">
        <x:f>H76-B76</x:f>
        <x:v>0</x:v>
      </x:c>
      <x:c r="O76" s="53" t="n">
        <x:f>I76-C76</x:f>
        <x:v>0</x:v>
      </x:c>
      <x:c r="P76" s="53" t="n">
        <x:f>J76-D76</x:f>
        <x:v>0</x:v>
      </x:c>
      <x:c r="Q76" s="53" t="n">
        <x:f>K76-E76</x:f>
        <x:v>0</x:v>
      </x:c>
      <x:c r="R76" s="53" t="n">
        <x:f>L76-F76</x:f>
        <x:v>0</x:v>
      </x:c>
      <x:c r="S76" s="53" t="n">
        <x:f>M76-G76</x:f>
        <x:v>0</x:v>
      </x:c>
      <x:c r="T76" t="str">
        <x:f>IF(COUNTIF(N76:S76,"&lt;&gt;0")=0,"UNCHANGED","UPDATED")</x:f>
        <x:v>UNCHANGED</x:v>
      </x:c>
      <x:c r="U76" t="str">
        <x:v>https://results.elections.bc.ca/</x:v>
      </x:c>
      <x:c r="V76" t="str">
        <x:v>https://results.elections.bc.ca/</x:v>
      </x:c>
    </x:row>
    <x:row r="77" ht="19" customHeight="1">
      <x:c r="A77" t="str">
        <x:v>Surrey-Panorama</x:v>
      </x:c>
      <x:c r="B77" s="51" t="n">
        <x:v>4899</x:v>
      </x:c>
      <x:c r="C77" s="51" t="n">
        <x:v>8599</x:v>
      </x:c>
      <x:c r="D77" s="51" t="n">
        <x:v>750</x:v>
      </x:c>
      <x:c r="E77" s="51" t="n">
        <x:v>382</x:v>
      </x:c>
      <x:c r="F77" s="51" t="n">
        <x:v>14630</x:v>
      </x:c>
      <x:c r="G77" s="51" t="n">
        <x:v>14645</x:v>
      </x:c>
      <x:c r="H77" s="52" t="n">
        <x:f>'Riding comparison'!K77</x:f>
        <x:v>4899</x:v>
      </x:c>
      <x:c r="I77" s="52" t="n">
        <x:f>'Riding comparison'!L77</x:f>
        <x:v>8599</x:v>
      </x:c>
      <x:c r="J77" s="52" t="n">
        <x:f>'Riding comparison'!M77</x:f>
        <x:v>750</x:v>
      </x:c>
      <x:c r="K77" s="52" t="n">
        <x:f>'Riding comparison'!N77</x:f>
        <x:v>382</x:v>
      </x:c>
      <x:c r="L77" s="52" t="n">
        <x:f>'Riding comparison'!O77</x:f>
        <x:v>14630</x:v>
      </x:c>
      <x:c r="M77" s="52" t="n">
        <x:f>'Riding comparison'!P77</x:f>
        <x:v>14645</x:v>
      </x:c>
      <x:c r="N77" s="53" t="n">
        <x:f>H77-B77</x:f>
        <x:v>0</x:v>
      </x:c>
      <x:c r="O77" s="53" t="n">
        <x:f>I77-C77</x:f>
        <x:v>0</x:v>
      </x:c>
      <x:c r="P77" s="53" t="n">
        <x:f>J77-D77</x:f>
        <x:v>0</x:v>
      </x:c>
      <x:c r="Q77" s="53" t="n">
        <x:f>K77-E77</x:f>
        <x:v>0</x:v>
      </x:c>
      <x:c r="R77" s="53" t="n">
        <x:f>L77-F77</x:f>
        <x:v>0</x:v>
      </x:c>
      <x:c r="S77" s="53" t="n">
        <x:f>M77-G77</x:f>
        <x:v>0</x:v>
      </x:c>
      <x:c r="T77" t="str">
        <x:f>IF(COUNTIF(N77:S77,"&lt;&gt;0")=0,"UNCHANGED","UPDATED")</x:f>
        <x:v>UNCHANGED</x:v>
      </x:c>
      <x:c r="U77" t="str">
        <x:v>https://results.elections.bc.ca/</x:v>
      </x:c>
      <x:c r="V77" t="str">
        <x:v>https://results.elections.bc.ca/</x:v>
      </x:c>
    </x:row>
    <x:row r="78" ht="19" customHeight="1">
      <x:c r="A78" t="str">
        <x:v>Surrey-Serpentine River</x:v>
      </x:c>
      <x:c r="B78" s="51" t="n">
        <x:v>5679</x:v>
      </x:c>
      <x:c r="C78" s="51" t="n">
        <x:v>10114</x:v>
      </x:c>
      <x:c r="D78" s="51" t="n">
        <x:v>0</x:v>
      </x:c>
      <x:c r="E78" s="51" t="n">
        <x:v>1610</x:v>
      </x:c>
      <x:c r="F78" s="51" t="n">
        <x:v>17403</x:v>
      </x:c>
      <x:c r="G78" s="51" t="n">
        <x:v>17439</x:v>
      </x:c>
      <x:c r="H78" s="52" t="n">
        <x:f>'Riding comparison'!K78</x:f>
        <x:v>5679</x:v>
      </x:c>
      <x:c r="I78" s="52" t="n">
        <x:f>'Riding comparison'!L78</x:f>
        <x:v>10114</x:v>
      </x:c>
      <x:c r="J78" s="52" t="n">
        <x:f>'Riding comparison'!M78</x:f>
        <x:v>0</x:v>
      </x:c>
      <x:c r="K78" s="52" t="n">
        <x:f>'Riding comparison'!N78</x:f>
        <x:v>1610</x:v>
      </x:c>
      <x:c r="L78" s="52" t="n">
        <x:f>'Riding comparison'!O78</x:f>
        <x:v>17403</x:v>
      </x:c>
      <x:c r="M78" s="52" t="n">
        <x:f>'Riding comparison'!P78</x:f>
        <x:v>17439</x:v>
      </x:c>
      <x:c r="N78" s="53" t="n">
        <x:f>H78-B78</x:f>
        <x:v>0</x:v>
      </x:c>
      <x:c r="O78" s="53" t="n">
        <x:f>I78-C78</x:f>
        <x:v>0</x:v>
      </x:c>
      <x:c r="P78" s="53" t="n">
        <x:f>J78-D78</x:f>
        <x:v>0</x:v>
      </x:c>
      <x:c r="Q78" s="53" t="n">
        <x:f>K78-E78</x:f>
        <x:v>0</x:v>
      </x:c>
      <x:c r="R78" s="53" t="n">
        <x:f>L78-F78</x:f>
        <x:v>0</x:v>
      </x:c>
      <x:c r="S78" s="53" t="n">
        <x:f>M78-G78</x:f>
        <x:v>0</x:v>
      </x:c>
      <x:c r="T78" t="str">
        <x:f>IF(COUNTIF(N78:S78,"&lt;&gt;0")=0,"UNCHANGED","UPDATED")</x:f>
        <x:v>UNCHANGED</x:v>
      </x:c>
      <x:c r="U78" t="str">
        <x:v>https://results.elections.bc.ca/</x:v>
      </x:c>
      <x:c r="V78" t="str">
        <x:v>https://results.elections.bc.ca/</x:v>
      </x:c>
    </x:row>
    <x:row r="79" ht="19" customHeight="1">
      <x:c r="A79" t="str">
        <x:v>Surrey South</x:v>
      </x:c>
      <x:c r="B79" s="51" t="n">
        <x:v>4535</x:v>
      </x:c>
      <x:c r="C79" s="51" t="n">
        <x:v>12557</x:v>
      </x:c>
      <x:c r="D79" s="51" t="n">
        <x:v>1021</x:v>
      </x:c>
      <x:c r="E79" s="51" t="n">
        <x:v>2340</x:v>
      </x:c>
      <x:c r="F79" s="51" t="n">
        <x:v>20453</x:v>
      </x:c>
      <x:c r="G79" s="51" t="n">
        <x:v>20466</x:v>
      </x:c>
      <x:c r="H79" s="52" t="n">
        <x:f>'Riding comparison'!K79</x:f>
        <x:v>4535</x:v>
      </x:c>
      <x:c r="I79" s="52" t="n">
        <x:f>'Riding comparison'!L79</x:f>
        <x:v>12557</x:v>
      </x:c>
      <x:c r="J79" s="52" t="n">
        <x:f>'Riding comparison'!M79</x:f>
        <x:v>1021</x:v>
      </x:c>
      <x:c r="K79" s="52" t="n">
        <x:f>'Riding comparison'!N79</x:f>
        <x:v>2340</x:v>
      </x:c>
      <x:c r="L79" s="52" t="n">
        <x:f>'Riding comparison'!O79</x:f>
        <x:v>20453</x:v>
      </x:c>
      <x:c r="M79" s="52" t="n">
        <x:f>'Riding comparison'!P79</x:f>
        <x:v>20466</x:v>
      </x:c>
      <x:c r="N79" s="53" t="n">
        <x:f>H79-B79</x:f>
        <x:v>0</x:v>
      </x:c>
      <x:c r="O79" s="53" t="n">
        <x:f>I79-C79</x:f>
        <x:v>0</x:v>
      </x:c>
      <x:c r="P79" s="53" t="n">
        <x:f>J79-D79</x:f>
        <x:v>0</x:v>
      </x:c>
      <x:c r="Q79" s="53" t="n">
        <x:f>K79-E79</x:f>
        <x:v>0</x:v>
      </x:c>
      <x:c r="R79" s="53" t="n">
        <x:f>L79-F79</x:f>
        <x:v>0</x:v>
      </x:c>
      <x:c r="S79" s="53" t="n">
        <x:f>M79-G79</x:f>
        <x:v>0</x:v>
      </x:c>
      <x:c r="T79" t="str">
        <x:f>IF(COUNTIF(N79:S79,"&lt;&gt;0")=0,"UNCHANGED","UPDATED")</x:f>
        <x:v>UNCHANGED</x:v>
      </x:c>
      <x:c r="U79" t="str">
        <x:v>https://results.elections.bc.ca/</x:v>
      </x:c>
      <x:c r="V79" t="str">
        <x:v>https://results.elections.bc.ca/</x:v>
      </x:c>
    </x:row>
    <x:row r="80" ht="19" customHeight="1">
      <x:c r="A80" t="str">
        <x:v>Surrey-White Rock</x:v>
      </x:c>
      <x:c r="B80" s="51" t="n">
        <x:v>7153</x:v>
      </x:c>
      <x:c r="C80" s="51" t="n">
        <x:v>14386</x:v>
      </x:c>
      <x:c r="D80" s="51" t="n">
        <x:v>1900</x:v>
      </x:c>
      <x:c r="E80" s="51" t="n">
        <x:v>1294</x:v>
      </x:c>
      <x:c r="F80" s="51" t="n">
        <x:v>24733</x:v>
      </x:c>
      <x:c r="G80" s="51" t="n">
        <x:v>24766</x:v>
      </x:c>
      <x:c r="H80" s="52" t="n">
        <x:f>'Riding comparison'!K80</x:f>
        <x:v>7153</x:v>
      </x:c>
      <x:c r="I80" s="52" t="n">
        <x:f>'Riding comparison'!L80</x:f>
        <x:v>14386</x:v>
      </x:c>
      <x:c r="J80" s="52" t="n">
        <x:f>'Riding comparison'!M80</x:f>
        <x:v>1900</x:v>
      </x:c>
      <x:c r="K80" s="52" t="n">
        <x:f>'Riding comparison'!N80</x:f>
        <x:v>1294</x:v>
      </x:c>
      <x:c r="L80" s="52" t="n">
        <x:f>'Riding comparison'!O80</x:f>
        <x:v>24733</x:v>
      </x:c>
      <x:c r="M80" s="52" t="n">
        <x:f>'Riding comparison'!P80</x:f>
        <x:v>24766</x:v>
      </x:c>
      <x:c r="N80" s="53" t="n">
        <x:f>H80-B80</x:f>
        <x:v>0</x:v>
      </x:c>
      <x:c r="O80" s="53" t="n">
        <x:f>I80-C80</x:f>
        <x:v>0</x:v>
      </x:c>
      <x:c r="P80" s="53" t="n">
        <x:f>J80-D80</x:f>
        <x:v>0</x:v>
      </x:c>
      <x:c r="Q80" s="53" t="n">
        <x:f>K80-E80</x:f>
        <x:v>0</x:v>
      </x:c>
      <x:c r="R80" s="53" t="n">
        <x:f>L80-F80</x:f>
        <x:v>0</x:v>
      </x:c>
      <x:c r="S80" s="53" t="n">
        <x:f>M80-G80</x:f>
        <x:v>0</x:v>
      </x:c>
      <x:c r="T80" t="str">
        <x:f>IF(COUNTIF(N80:S80,"&lt;&gt;0")=0,"UNCHANGED","UPDATED")</x:f>
        <x:v>UNCHANGED</x:v>
      </x:c>
      <x:c r="U80" t="str">
        <x:v>https://results.elections.bc.ca/</x:v>
      </x:c>
      <x:c r="V80" t="str">
        <x:v>https://results.elections.bc.ca/</x:v>
      </x:c>
    </x:row>
    <x:row r="81" ht="19" customHeight="1">
      <x:c r="A81" t="str">
        <x:v>Vancouver-Fraserview</x:v>
      </x:c>
      <x:c r="B81" s="51" t="n">
        <x:v>6769</x:v>
      </x:c>
      <x:c r="C81" s="51" t="n">
        <x:v>7156</x:v>
      </x:c>
      <x:c r="D81" s="51" t="n">
        <x:v>2302</x:v>
      </x:c>
      <x:c r="E81" s="51" t="n">
        <x:v>0</x:v>
      </x:c>
      <x:c r="F81" s="51" t="n">
        <x:v>16227</x:v>
      </x:c>
      <x:c r="G81" s="51" t="n">
        <x:v>16253</x:v>
      </x:c>
      <x:c r="H81" s="52" t="n">
        <x:f>'Riding comparison'!K81</x:f>
        <x:v>6769</x:v>
      </x:c>
      <x:c r="I81" s="52" t="n">
        <x:f>'Riding comparison'!L81</x:f>
        <x:v>7156</x:v>
      </x:c>
      <x:c r="J81" s="52" t="n">
        <x:f>'Riding comparison'!M81</x:f>
        <x:v>2302</x:v>
      </x:c>
      <x:c r="K81" s="52" t="n">
        <x:f>'Riding comparison'!N81</x:f>
        <x:v>0</x:v>
      </x:c>
      <x:c r="L81" s="52" t="n">
        <x:f>'Riding comparison'!O81</x:f>
        <x:v>16227</x:v>
      </x:c>
      <x:c r="M81" s="52" t="n">
        <x:f>'Riding comparison'!P81</x:f>
        <x:v>16253</x:v>
      </x:c>
      <x:c r="N81" s="53" t="n">
        <x:f>H81-B81</x:f>
        <x:v>0</x:v>
      </x:c>
      <x:c r="O81" s="53" t="n">
        <x:f>I81-C81</x:f>
        <x:v>0</x:v>
      </x:c>
      <x:c r="P81" s="53" t="n">
        <x:f>J81-D81</x:f>
        <x:v>0</x:v>
      </x:c>
      <x:c r="Q81" s="53" t="n">
        <x:f>K81-E81</x:f>
        <x:v>0</x:v>
      </x:c>
      <x:c r="R81" s="53" t="n">
        <x:f>L81-F81</x:f>
        <x:v>0</x:v>
      </x:c>
      <x:c r="S81" s="53" t="n">
        <x:f>M81-G81</x:f>
        <x:v>0</x:v>
      </x:c>
      <x:c r="T81" t="str">
        <x:f>IF(COUNTIF(N81:S81,"&lt;&gt;0")=0,"UNCHANGED","UPDATED")</x:f>
        <x:v>UNCHANGED</x:v>
      </x:c>
      <x:c r="U81" t="str">
        <x:v>https://results.elections.bc.ca/</x:v>
      </x:c>
      <x:c r="V81" t="str">
        <x:v>https://results.elections.bc.ca/</x:v>
      </x:c>
    </x:row>
    <x:row r="82" ht="19" customHeight="1">
      <x:c r="A82" t="str">
        <x:v>Vancouver-Hastings</x:v>
      </x:c>
      <x:c r="B82" s="51" t="n">
        <x:v>9707</x:v>
      </x:c>
      <x:c r="C82" s="51" t="n">
        <x:v>4795</x:v>
      </x:c>
      <x:c r="D82" s="51" t="n">
        <x:v>3576</x:v>
      </x:c>
      <x:c r="E82" s="51" t="n">
        <x:v>851</x:v>
      </x:c>
      <x:c r="F82" s="51" t="n">
        <x:v>18929</x:v>
      </x:c>
      <x:c r="G82" s="51" t="n">
        <x:v>18973</x:v>
      </x:c>
      <x:c r="H82" s="52" t="n">
        <x:f>'Riding comparison'!K82</x:f>
        <x:v>9707</x:v>
      </x:c>
      <x:c r="I82" s="52" t="n">
        <x:f>'Riding comparison'!L82</x:f>
        <x:v>4795</x:v>
      </x:c>
      <x:c r="J82" s="52" t="n">
        <x:f>'Riding comparison'!M82</x:f>
        <x:v>3576</x:v>
      </x:c>
      <x:c r="K82" s="52" t="n">
        <x:f>'Riding comparison'!N82</x:f>
        <x:v>851</x:v>
      </x:c>
      <x:c r="L82" s="52" t="n">
        <x:f>'Riding comparison'!O82</x:f>
        <x:v>18929</x:v>
      </x:c>
      <x:c r="M82" s="52" t="n">
        <x:f>'Riding comparison'!P82</x:f>
        <x:v>18973</x:v>
      </x:c>
      <x:c r="N82" s="53" t="n">
        <x:f>H82-B82</x:f>
        <x:v>0</x:v>
      </x:c>
      <x:c r="O82" s="53" t="n">
        <x:f>I82-C82</x:f>
        <x:v>0</x:v>
      </x:c>
      <x:c r="P82" s="53" t="n">
        <x:f>J82-D82</x:f>
        <x:v>0</x:v>
      </x:c>
      <x:c r="Q82" s="53" t="n">
        <x:f>K82-E82</x:f>
        <x:v>0</x:v>
      </x:c>
      <x:c r="R82" s="53" t="n">
        <x:f>L82-F82</x:f>
        <x:v>0</x:v>
      </x:c>
      <x:c r="S82" s="53" t="n">
        <x:f>M82-G82</x:f>
        <x:v>0</x:v>
      </x:c>
      <x:c r="T82" t="str">
        <x:f>IF(COUNTIF(N82:S82,"&lt;&gt;0")=0,"UNCHANGED","UPDATED")</x:f>
        <x:v>UNCHANGED</x:v>
      </x:c>
      <x:c r="U82" t="str">
        <x:v>https://results.elections.bc.ca/</x:v>
      </x:c>
      <x:c r="V82" t="str">
        <x:v>https://results.elections.bc.ca/</x:v>
      </x:c>
    </x:row>
    <x:row r="83" ht="19" customHeight="1">
      <x:c r="A83" t="str">
        <x:v>Vancouver-Kensington</x:v>
      </x:c>
      <x:c r="B83" s="51" t="n">
        <x:v>7278</x:v>
      </x:c>
      <x:c r="C83" s="51" t="n">
        <x:v>5599</x:v>
      </x:c>
      <x:c r="D83" s="51" t="n">
        <x:v>2716</x:v>
      </x:c>
      <x:c r="E83" s="51" t="n">
        <x:v>0</x:v>
      </x:c>
      <x:c r="F83" s="51" t="n">
        <x:v>15593</x:v>
      </x:c>
      <x:c r="G83" s="51" t="n">
        <x:v>15621</x:v>
      </x:c>
      <x:c r="H83" s="52" t="n">
        <x:f>'Riding comparison'!K83</x:f>
        <x:v>7278</x:v>
      </x:c>
      <x:c r="I83" s="52" t="n">
        <x:f>'Riding comparison'!L83</x:f>
        <x:v>5599</x:v>
      </x:c>
      <x:c r="J83" s="52" t="n">
        <x:f>'Riding comparison'!M83</x:f>
        <x:v>2716</x:v>
      </x:c>
      <x:c r="K83" s="52" t="n">
        <x:f>'Riding comparison'!N83</x:f>
        <x:v>0</x:v>
      </x:c>
      <x:c r="L83" s="52" t="n">
        <x:f>'Riding comparison'!O83</x:f>
        <x:v>15593</x:v>
      </x:c>
      <x:c r="M83" s="52" t="n">
        <x:f>'Riding comparison'!P83</x:f>
        <x:v>15621</x:v>
      </x:c>
      <x:c r="N83" s="53" t="n">
        <x:f>H83-B83</x:f>
        <x:v>0</x:v>
      </x:c>
      <x:c r="O83" s="53" t="n">
        <x:f>I83-C83</x:f>
        <x:v>0</x:v>
      </x:c>
      <x:c r="P83" s="53" t="n">
        <x:f>J83-D83</x:f>
        <x:v>0</x:v>
      </x:c>
      <x:c r="Q83" s="53" t="n">
        <x:f>K83-E83</x:f>
        <x:v>0</x:v>
      </x:c>
      <x:c r="R83" s="53" t="n">
        <x:f>L83-F83</x:f>
        <x:v>0</x:v>
      </x:c>
      <x:c r="S83" s="53" t="n">
        <x:f>M83-G83</x:f>
        <x:v>0</x:v>
      </x:c>
      <x:c r="T83" t="str">
        <x:f>IF(COUNTIF(N83:S83,"&lt;&gt;0")=0,"UNCHANGED","UPDATED")</x:f>
        <x:v>UNCHANGED</x:v>
      </x:c>
      <x:c r="U83" t="str">
        <x:v>https://results.elections.bc.ca/</x:v>
      </x:c>
      <x:c r="V83" t="str">
        <x:v>https://results.elections.bc.ca/</x:v>
      </x:c>
    </x:row>
    <x:row r="84" ht="19" customHeight="1">
      <x:c r="A84" t="str">
        <x:v>Vancouver-Langara</x:v>
      </x:c>
      <x:c r="B84" s="51" t="n">
        <x:v>5544</x:v>
      </x:c>
      <x:c r="C84" s="51" t="n">
        <x:v>7194</x:v>
      </x:c>
      <x:c r="D84" s="51" t="n">
        <x:v>1123</x:v>
      </x:c>
      <x:c r="E84" s="51" t="n">
        <x:v>362</x:v>
      </x:c>
      <x:c r="F84" s="51" t="n">
        <x:v>14223</x:v>
      </x:c>
      <x:c r="G84" s="51" t="n">
        <x:v>14245</x:v>
      </x:c>
      <x:c r="H84" s="52" t="n">
        <x:f>'Riding comparison'!K84</x:f>
        <x:v>5544</x:v>
      </x:c>
      <x:c r="I84" s="52" t="n">
        <x:f>'Riding comparison'!L84</x:f>
        <x:v>7194</x:v>
      </x:c>
      <x:c r="J84" s="52" t="n">
        <x:f>'Riding comparison'!M84</x:f>
        <x:v>1123</x:v>
      </x:c>
      <x:c r="K84" s="52" t="n">
        <x:f>'Riding comparison'!N84</x:f>
        <x:v>362</x:v>
      </x:c>
      <x:c r="L84" s="52" t="n">
        <x:f>'Riding comparison'!O84</x:f>
        <x:v>14223</x:v>
      </x:c>
      <x:c r="M84" s="52" t="n">
        <x:f>'Riding comparison'!P84</x:f>
        <x:v>14245</x:v>
      </x:c>
      <x:c r="N84" s="53" t="n">
        <x:f>H84-B84</x:f>
        <x:v>0</x:v>
      </x:c>
      <x:c r="O84" s="53" t="n">
        <x:f>I84-C84</x:f>
        <x:v>0</x:v>
      </x:c>
      <x:c r="P84" s="53" t="n">
        <x:f>J84-D84</x:f>
        <x:v>0</x:v>
      </x:c>
      <x:c r="Q84" s="53" t="n">
        <x:f>K84-E84</x:f>
        <x:v>0</x:v>
      </x:c>
      <x:c r="R84" s="53" t="n">
        <x:f>L84-F84</x:f>
        <x:v>0</x:v>
      </x:c>
      <x:c r="S84" s="53" t="n">
        <x:f>M84-G84</x:f>
        <x:v>0</x:v>
      </x:c>
      <x:c r="T84" t="str">
        <x:f>IF(COUNTIF(N84:S84,"&lt;&gt;0")=0,"UNCHANGED","UPDATED")</x:f>
        <x:v>UNCHANGED</x:v>
      </x:c>
      <x:c r="U84" t="str">
        <x:v>https://results.elections.bc.ca/</x:v>
      </x:c>
      <x:c r="V84" t="str">
        <x:v>https://results.elections.bc.ca/</x:v>
      </x:c>
    </x:row>
    <x:row r="85" ht="19" customHeight="1">
      <x:c r="A85" t="str">
        <x:v>Vancouver-Little Mountain</x:v>
      </x:c>
      <x:c r="B85" s="51" t="n">
        <x:v>10145</x:v>
      </x:c>
      <x:c r="C85" s="51" t="n">
        <x:v>7075</x:v>
      </x:c>
      <x:c r="D85" s="51" t="n">
        <x:v>3424</x:v>
      </x:c>
      <x:c r="E85" s="51" t="n">
        <x:v>0</x:v>
      </x:c>
      <x:c r="F85" s="51" t="n">
        <x:v>20644</x:v>
      </x:c>
      <x:c r="G85" s="51" t="n">
        <x:v>20688</x:v>
      </x:c>
      <x:c r="H85" s="52" t="n">
        <x:f>'Riding comparison'!K85</x:f>
        <x:v>10145</x:v>
      </x:c>
      <x:c r="I85" s="52" t="n">
        <x:f>'Riding comparison'!L85</x:f>
        <x:v>7075</x:v>
      </x:c>
      <x:c r="J85" s="52" t="n">
        <x:f>'Riding comparison'!M85</x:f>
        <x:v>3424</x:v>
      </x:c>
      <x:c r="K85" s="52" t="n">
        <x:f>'Riding comparison'!N85</x:f>
        <x:v>0</x:v>
      </x:c>
      <x:c r="L85" s="52" t="n">
        <x:f>'Riding comparison'!O85</x:f>
        <x:v>20644</x:v>
      </x:c>
      <x:c r="M85" s="52" t="n">
        <x:f>'Riding comparison'!P85</x:f>
        <x:v>20688</x:v>
      </x:c>
      <x:c r="N85" s="53" t="n">
        <x:f>H85-B85</x:f>
        <x:v>0</x:v>
      </x:c>
      <x:c r="O85" s="53" t="n">
        <x:f>I85-C85</x:f>
        <x:v>0</x:v>
      </x:c>
      <x:c r="P85" s="53" t="n">
        <x:f>J85-D85</x:f>
        <x:v>0</x:v>
      </x:c>
      <x:c r="Q85" s="53" t="n">
        <x:f>K85-E85</x:f>
        <x:v>0</x:v>
      </x:c>
      <x:c r="R85" s="53" t="n">
        <x:f>L85-F85</x:f>
        <x:v>0</x:v>
      </x:c>
      <x:c r="S85" s="53" t="n">
        <x:f>M85-G85</x:f>
        <x:v>0</x:v>
      </x:c>
      <x:c r="T85" t="str">
        <x:f>IF(COUNTIF(N85:S85,"&lt;&gt;0")=0,"UNCHANGED","UPDATED")</x:f>
        <x:v>UNCHANGED</x:v>
      </x:c>
      <x:c r="U85" t="str">
        <x:v>https://results.elections.bc.ca/</x:v>
      </x:c>
      <x:c r="V85" t="str">
        <x:v>https://results.elections.bc.ca/</x:v>
      </x:c>
    </x:row>
    <x:row r="86" ht="19" customHeight="1">
      <x:c r="A86" t="str">
        <x:v>Vancouver-Point Grey</x:v>
      </x:c>
      <x:c r="B86" s="51" t="n">
        <x:v>7811</x:v>
      </x:c>
      <x:c r="C86" s="51" t="n">
        <x:v>7273</x:v>
      </x:c>
      <x:c r="D86" s="51" t="n">
        <x:v>2448</x:v>
      </x:c>
      <x:c r="E86" s="51" t="n">
        <x:v>647</x:v>
      </x:c>
      <x:c r="F86" s="51" t="n">
        <x:v>18179</x:v>
      </x:c>
      <x:c r="G86" s="51" t="n">
        <x:v>18199</x:v>
      </x:c>
      <x:c r="H86" s="52" t="n">
        <x:f>'Riding comparison'!K86</x:f>
        <x:v>7811</x:v>
      </x:c>
      <x:c r="I86" s="52" t="n">
        <x:f>'Riding comparison'!L86</x:f>
        <x:v>7273</x:v>
      </x:c>
      <x:c r="J86" s="52" t="n">
        <x:f>'Riding comparison'!M86</x:f>
        <x:v>2448</x:v>
      </x:c>
      <x:c r="K86" s="52" t="n">
        <x:f>'Riding comparison'!N86</x:f>
        <x:v>647</x:v>
      </x:c>
      <x:c r="L86" s="52" t="n">
        <x:f>'Riding comparison'!O86</x:f>
        <x:v>18179</x:v>
      </x:c>
      <x:c r="M86" s="52" t="n">
        <x:f>'Riding comparison'!P86</x:f>
        <x:v>18199</x:v>
      </x:c>
      <x:c r="N86" s="53" t="n">
        <x:f>H86-B86</x:f>
        <x:v>0</x:v>
      </x:c>
      <x:c r="O86" s="53" t="n">
        <x:f>I86-C86</x:f>
        <x:v>0</x:v>
      </x:c>
      <x:c r="P86" s="53" t="n">
        <x:f>J86-D86</x:f>
        <x:v>0</x:v>
      </x:c>
      <x:c r="Q86" s="53" t="n">
        <x:f>K86-E86</x:f>
        <x:v>0</x:v>
      </x:c>
      <x:c r="R86" s="53" t="n">
        <x:f>L86-F86</x:f>
        <x:v>0</x:v>
      </x:c>
      <x:c r="S86" s="53" t="n">
        <x:f>M86-G86</x:f>
        <x:v>0</x:v>
      </x:c>
      <x:c r="T86" t="str">
        <x:f>IF(COUNTIF(N86:S86,"&lt;&gt;0")=0,"UNCHANGED","UPDATED")</x:f>
        <x:v>UNCHANGED</x:v>
      </x:c>
      <x:c r="U86" t="str">
        <x:v>https://results.elections.bc.ca/</x:v>
      </x:c>
      <x:c r="V86" t="str">
        <x:v>https://results.elections.bc.ca/</x:v>
      </x:c>
    </x:row>
    <x:row r="87" ht="19" customHeight="1">
      <x:c r="A87" t="str">
        <x:v>Vancouver-Quilchena</x:v>
      </x:c>
      <x:c r="B87" s="51" t="n">
        <x:v>5269</x:v>
      </x:c>
      <x:c r="C87" s="51" t="n">
        <x:v>10956</x:v>
      </x:c>
      <x:c r="D87" s="51" t="n">
        <x:v>1844</x:v>
      </x:c>
      <x:c r="E87" s="51" t="n">
        <x:v>1843</x:v>
      </x:c>
      <x:c r="F87" s="51" t="n">
        <x:v>19912</x:v>
      </x:c>
      <x:c r="G87" s="51" t="n">
        <x:v>19939</x:v>
      </x:c>
      <x:c r="H87" s="52" t="n">
        <x:f>'Riding comparison'!K87</x:f>
        <x:v>5269</x:v>
      </x:c>
      <x:c r="I87" s="52" t="n">
        <x:f>'Riding comparison'!L87</x:f>
        <x:v>10956</x:v>
      </x:c>
      <x:c r="J87" s="52" t="n">
        <x:f>'Riding comparison'!M87</x:f>
        <x:v>1844</x:v>
      </x:c>
      <x:c r="K87" s="52" t="n">
        <x:f>'Riding comparison'!N87</x:f>
        <x:v>1843</x:v>
      </x:c>
      <x:c r="L87" s="52" t="n">
        <x:f>'Riding comparison'!O87</x:f>
        <x:v>19912</x:v>
      </x:c>
      <x:c r="M87" s="52" t="n">
        <x:f>'Riding comparison'!P87</x:f>
        <x:v>19939</x:v>
      </x:c>
      <x:c r="N87" s="53" t="n">
        <x:f>H87-B87</x:f>
        <x:v>0</x:v>
      </x:c>
      <x:c r="O87" s="53" t="n">
        <x:f>I87-C87</x:f>
        <x:v>0</x:v>
      </x:c>
      <x:c r="P87" s="53" t="n">
        <x:f>J87-D87</x:f>
        <x:v>0</x:v>
      </x:c>
      <x:c r="Q87" s="53" t="n">
        <x:f>K87-E87</x:f>
        <x:v>0</x:v>
      </x:c>
      <x:c r="R87" s="53" t="n">
        <x:f>L87-F87</x:f>
        <x:v>0</x:v>
      </x:c>
      <x:c r="S87" s="53" t="n">
        <x:f>M87-G87</x:f>
        <x:v>0</x:v>
      </x:c>
      <x:c r="T87" t="str">
        <x:f>IF(COUNTIF(N87:S87,"&lt;&gt;0")=0,"UNCHANGED","UPDATED")</x:f>
        <x:v>UNCHANGED</x:v>
      </x:c>
      <x:c r="U87" t="str">
        <x:v>https://results.elections.bc.ca/</x:v>
      </x:c>
      <x:c r="V87" t="str">
        <x:v>https://results.elections.bc.ca/</x:v>
      </x:c>
    </x:row>
    <x:row r="88" ht="19" customHeight="1">
      <x:c r="A88" t="str">
        <x:v>Vancouver-Renfrew</x:v>
      </x:c>
      <x:c r="B88" s="51" t="n">
        <x:v>7708</x:v>
      </x:c>
      <x:c r="C88" s="51" t="n">
        <x:v>4409</x:v>
      </x:c>
      <x:c r="D88" s="51" t="n">
        <x:v>1675</x:v>
      </x:c>
      <x:c r="E88" s="51" t="n">
        <x:v>314</x:v>
      </x:c>
      <x:c r="F88" s="51" t="n">
        <x:v>14106</x:v>
      </x:c>
      <x:c r="G88" s="51" t="n">
        <x:v>14158</x:v>
      </x:c>
      <x:c r="H88" s="52" t="n">
        <x:f>'Riding comparison'!K88</x:f>
        <x:v>7708</x:v>
      </x:c>
      <x:c r="I88" s="52" t="n">
        <x:f>'Riding comparison'!L88</x:f>
        <x:v>4409</x:v>
      </x:c>
      <x:c r="J88" s="52" t="n">
        <x:f>'Riding comparison'!M88</x:f>
        <x:v>1675</x:v>
      </x:c>
      <x:c r="K88" s="52" t="n">
        <x:f>'Riding comparison'!N88</x:f>
        <x:v>314</x:v>
      </x:c>
      <x:c r="L88" s="52" t="n">
        <x:f>'Riding comparison'!O88</x:f>
        <x:v>14106</x:v>
      </x:c>
      <x:c r="M88" s="52" t="n">
        <x:f>'Riding comparison'!P88</x:f>
        <x:v>14158</x:v>
      </x:c>
      <x:c r="N88" s="53" t="n">
        <x:f>H88-B88</x:f>
        <x:v>0</x:v>
      </x:c>
      <x:c r="O88" s="53" t="n">
        <x:f>I88-C88</x:f>
        <x:v>0</x:v>
      </x:c>
      <x:c r="P88" s="53" t="n">
        <x:f>J88-D88</x:f>
        <x:v>0</x:v>
      </x:c>
      <x:c r="Q88" s="53" t="n">
        <x:f>K88-E88</x:f>
        <x:v>0</x:v>
      </x:c>
      <x:c r="R88" s="53" t="n">
        <x:f>L88-F88</x:f>
        <x:v>0</x:v>
      </x:c>
      <x:c r="S88" s="53" t="n">
        <x:f>M88-G88</x:f>
        <x:v>0</x:v>
      </x:c>
      <x:c r="T88" t="str">
        <x:f>IF(COUNTIF(N88:S88,"&lt;&gt;0")=0,"UNCHANGED","UPDATED")</x:f>
        <x:v>UNCHANGED</x:v>
      </x:c>
      <x:c r="U88" t="str">
        <x:v>https://results.elections.bc.ca/</x:v>
      </x:c>
      <x:c r="V88" t="str">
        <x:v>https://results.elections.bc.ca/</x:v>
      </x:c>
    </x:row>
    <x:row r="89" ht="19" customHeight="1">
      <x:c r="A89" t="str">
        <x:v>Vancouver-South Granville</x:v>
      </x:c>
      <x:c r="B89" s="51" t="n">
        <x:v>10427</x:v>
      </x:c>
      <x:c r="C89" s="51" t="n">
        <x:v>6489</x:v>
      </x:c>
      <x:c r="D89" s="51" t="n">
        <x:v>4151</x:v>
      </x:c>
      <x:c r="E89" s="51" t="n">
        <x:v>917</x:v>
      </x:c>
      <x:c r="F89" s="51" t="n">
        <x:v>21984</x:v>
      </x:c>
      <x:c r="G89" s="51" t="n">
        <x:v>22002</x:v>
      </x:c>
      <x:c r="H89" s="52" t="n">
        <x:f>'Riding comparison'!K89</x:f>
        <x:v>10427</x:v>
      </x:c>
      <x:c r="I89" s="52" t="n">
        <x:f>'Riding comparison'!L89</x:f>
        <x:v>6489</x:v>
      </x:c>
      <x:c r="J89" s="52" t="n">
        <x:f>'Riding comparison'!M89</x:f>
        <x:v>4151</x:v>
      </x:c>
      <x:c r="K89" s="52" t="n">
        <x:f>'Riding comparison'!N89</x:f>
        <x:v>917</x:v>
      </x:c>
      <x:c r="L89" s="52" t="n">
        <x:f>'Riding comparison'!O89</x:f>
        <x:v>21984</x:v>
      </x:c>
      <x:c r="M89" s="52" t="n">
        <x:f>'Riding comparison'!P89</x:f>
        <x:v>22002</x:v>
      </x:c>
      <x:c r="N89" s="53" t="n">
        <x:f>H89-B89</x:f>
        <x:v>0</x:v>
      </x:c>
      <x:c r="O89" s="53" t="n">
        <x:f>I89-C89</x:f>
        <x:v>0</x:v>
      </x:c>
      <x:c r="P89" s="53" t="n">
        <x:f>J89-D89</x:f>
        <x:v>0</x:v>
      </x:c>
      <x:c r="Q89" s="53" t="n">
        <x:f>K89-E89</x:f>
        <x:v>0</x:v>
      </x:c>
      <x:c r="R89" s="53" t="n">
        <x:f>L89-F89</x:f>
        <x:v>0</x:v>
      </x:c>
      <x:c r="S89" s="53" t="n">
        <x:f>M89-G89</x:f>
        <x:v>0</x:v>
      </x:c>
      <x:c r="T89" t="str">
        <x:f>IF(COUNTIF(N89:S89,"&lt;&gt;0")=0,"UNCHANGED","UPDATED")</x:f>
        <x:v>UNCHANGED</x:v>
      </x:c>
      <x:c r="U89" t="str">
        <x:v>https://results.elections.bc.ca/</x:v>
      </x:c>
      <x:c r="V89" t="str">
        <x:v>https://results.elections.bc.ca/</x:v>
      </x:c>
    </x:row>
    <x:row r="90" ht="19" customHeight="1">
      <x:c r="A90" t="str">
        <x:v>Vancouver-Strathcona</x:v>
      </x:c>
      <x:c r="B90" s="51" t="n">
        <x:v>9484</x:v>
      </x:c>
      <x:c r="C90" s="51" t="n">
        <x:v>2531</x:v>
      </x:c>
      <x:c r="D90" s="51" t="n">
        <x:v>4985</x:v>
      </x:c>
      <x:c r="E90" s="51" t="n">
        <x:v>216</x:v>
      </x:c>
      <x:c r="F90" s="51" t="n">
        <x:v>17216</x:v>
      </x:c>
      <x:c r="G90" s="51" t="n">
        <x:v>17309</x:v>
      </x:c>
      <x:c r="H90" s="52" t="n">
        <x:f>'Riding comparison'!K90</x:f>
        <x:v>9484</x:v>
      </x:c>
      <x:c r="I90" s="52" t="n">
        <x:f>'Riding comparison'!L90</x:f>
        <x:v>2531</x:v>
      </x:c>
      <x:c r="J90" s="52" t="n">
        <x:f>'Riding comparison'!M90</x:f>
        <x:v>4985</x:v>
      </x:c>
      <x:c r="K90" s="52" t="n">
        <x:f>'Riding comparison'!N90</x:f>
        <x:v>216</x:v>
      </x:c>
      <x:c r="L90" s="52" t="n">
        <x:f>'Riding comparison'!O90</x:f>
        <x:v>17216</x:v>
      </x:c>
      <x:c r="M90" s="52" t="n">
        <x:f>'Riding comparison'!P90</x:f>
        <x:v>17309</x:v>
      </x:c>
      <x:c r="N90" s="53" t="n">
        <x:f>H90-B90</x:f>
        <x:v>0</x:v>
      </x:c>
      <x:c r="O90" s="53" t="n">
        <x:f>I90-C90</x:f>
        <x:v>0</x:v>
      </x:c>
      <x:c r="P90" s="53" t="n">
        <x:f>J90-D90</x:f>
        <x:v>0</x:v>
      </x:c>
      <x:c r="Q90" s="53" t="n">
        <x:f>K90-E90</x:f>
        <x:v>0</x:v>
      </x:c>
      <x:c r="R90" s="53" t="n">
        <x:f>L90-F90</x:f>
        <x:v>0</x:v>
      </x:c>
      <x:c r="S90" s="53" t="n">
        <x:f>M90-G90</x:f>
        <x:v>0</x:v>
      </x:c>
      <x:c r="T90" t="str">
        <x:f>IF(COUNTIF(N90:S90,"&lt;&gt;0")=0,"UNCHANGED","UPDATED")</x:f>
        <x:v>UNCHANGED</x:v>
      </x:c>
      <x:c r="U90" t="str">
        <x:v>https://results.elections.bc.ca/</x:v>
      </x:c>
      <x:c r="V90" t="str">
        <x:v>https://results.elections.bc.ca/</x:v>
      </x:c>
    </x:row>
    <x:row r="91" ht="19" customHeight="1">
      <x:c r="A91" t="str">
        <x:v>Vancouver-West End</x:v>
      </x:c>
      <x:c r="B91" s="51" t="n">
        <x:v>8661</x:v>
      </x:c>
      <x:c r="C91" s="51" t="n">
        <x:v>5115</x:v>
      </x:c>
      <x:c r="D91" s="51" t="n">
        <x:v>3001</x:v>
      </x:c>
      <x:c r="E91" s="51" t="n">
        <x:v>0</x:v>
      </x:c>
      <x:c r="F91" s="51" t="n">
        <x:v>16777</x:v>
      </x:c>
      <x:c r="G91" s="51" t="n">
        <x:v>16804</x:v>
      </x:c>
      <x:c r="H91" s="52" t="n">
        <x:f>'Riding comparison'!K91</x:f>
        <x:v>8661</x:v>
      </x:c>
      <x:c r="I91" s="52" t="n">
        <x:f>'Riding comparison'!L91</x:f>
        <x:v>5115</x:v>
      </x:c>
      <x:c r="J91" s="52" t="n">
        <x:f>'Riding comparison'!M91</x:f>
        <x:v>3001</x:v>
      </x:c>
      <x:c r="K91" s="52" t="n">
        <x:f>'Riding comparison'!N91</x:f>
        <x:v>0</x:v>
      </x:c>
      <x:c r="L91" s="52" t="n">
        <x:f>'Riding comparison'!O91</x:f>
        <x:v>16777</x:v>
      </x:c>
      <x:c r="M91" s="52" t="n">
        <x:f>'Riding comparison'!P91</x:f>
        <x:v>16804</x:v>
      </x:c>
      <x:c r="N91" s="53" t="n">
        <x:f>H91-B91</x:f>
        <x:v>0</x:v>
      </x:c>
      <x:c r="O91" s="53" t="n">
        <x:f>I91-C91</x:f>
        <x:v>0</x:v>
      </x:c>
      <x:c r="P91" s="53" t="n">
        <x:f>J91-D91</x:f>
        <x:v>0</x:v>
      </x:c>
      <x:c r="Q91" s="53" t="n">
        <x:f>K91-E91</x:f>
        <x:v>0</x:v>
      </x:c>
      <x:c r="R91" s="53" t="n">
        <x:f>L91-F91</x:f>
        <x:v>0</x:v>
      </x:c>
      <x:c r="S91" s="53" t="n">
        <x:f>M91-G91</x:f>
        <x:v>0</x:v>
      </x:c>
      <x:c r="T91" t="str">
        <x:f>IF(COUNTIF(N91:S91,"&lt;&gt;0")=0,"UNCHANGED","UPDATED")</x:f>
        <x:v>UNCHANGED</x:v>
      </x:c>
      <x:c r="U91" t="str">
        <x:v>https://results.elections.bc.ca/</x:v>
      </x:c>
      <x:c r="V91" t="str">
        <x:v>https://results.elections.bc.ca/</x:v>
      </x:c>
    </x:row>
    <x:row r="92" ht="19" customHeight="1">
      <x:c r="A92" t="str">
        <x:v>Vancouver-Yaletown</x:v>
      </x:c>
      <x:c r="B92" s="51" t="n">
        <x:v>5870</x:v>
      </x:c>
      <x:c r="C92" s="51" t="n">
        <x:v>6714</x:v>
      </x:c>
      <x:c r="D92" s="51" t="n">
        <x:v>1253</x:v>
      </x:c>
      <x:c r="E92" s="51" t="n">
        <x:v>482</x:v>
      </x:c>
      <x:c r="F92" s="51" t="n">
        <x:v>14319</x:v>
      </x:c>
      <x:c r="G92" s="51" t="n">
        <x:v>14391</x:v>
      </x:c>
      <x:c r="H92" s="52" t="n">
        <x:f>'Riding comparison'!K92</x:f>
        <x:v>5870</x:v>
      </x:c>
      <x:c r="I92" s="52" t="n">
        <x:f>'Riding comparison'!L92</x:f>
        <x:v>6714</x:v>
      </x:c>
      <x:c r="J92" s="52" t="n">
        <x:f>'Riding comparison'!M92</x:f>
        <x:v>1253</x:v>
      </x:c>
      <x:c r="K92" s="52" t="n">
        <x:f>'Riding comparison'!N92</x:f>
        <x:v>482</x:v>
      </x:c>
      <x:c r="L92" s="52" t="n">
        <x:f>'Riding comparison'!O92</x:f>
        <x:v>14319</x:v>
      </x:c>
      <x:c r="M92" s="52" t="n">
        <x:f>'Riding comparison'!P92</x:f>
        <x:v>14391</x:v>
      </x:c>
      <x:c r="N92" s="53" t="n">
        <x:f>H92-B92</x:f>
        <x:v>0</x:v>
      </x:c>
      <x:c r="O92" s="53" t="n">
        <x:f>I92-C92</x:f>
        <x:v>0</x:v>
      </x:c>
      <x:c r="P92" s="53" t="n">
        <x:f>J92-D92</x:f>
        <x:v>0</x:v>
      </x:c>
      <x:c r="Q92" s="53" t="n">
        <x:f>K92-E92</x:f>
        <x:v>0</x:v>
      </x:c>
      <x:c r="R92" s="53" t="n">
        <x:f>L92-F92</x:f>
        <x:v>0</x:v>
      </x:c>
      <x:c r="S92" s="53" t="n">
        <x:f>M92-G92</x:f>
        <x:v>0</x:v>
      </x:c>
      <x:c r="T92" t="str">
        <x:f>IF(COUNTIF(N92:S92,"&lt;&gt;0")=0,"UNCHANGED","UPDATED")</x:f>
        <x:v>UNCHANGED</x:v>
      </x:c>
      <x:c r="U92" t="str">
        <x:v>https://results.elections.bc.ca/</x:v>
      </x:c>
      <x:c r="V92" t="str">
        <x:v>https://results.elections.bc.ca/</x:v>
      </x:c>
    </x:row>
    <x:row r="93" ht="19" customHeight="1">
      <x:c r="A93" t="str">
        <x:v>Vernon-Lumby</x:v>
      </x:c>
      <x:c r="B93" s="51" t="n">
        <x:v>9448</x:v>
      </x:c>
      <x:c r="C93" s="51" t="n">
        <x:v>12702</x:v>
      </x:c>
      <x:c r="D93" s="51" t="n">
        <x:v>1729</x:v>
      </x:c>
      <x:c r="E93" s="51" t="n">
        <x:v>1120</x:v>
      </x:c>
      <x:c r="F93" s="51" t="n">
        <x:v>24999</x:v>
      </x:c>
      <x:c r="G93" s="51" t="n">
        <x:v>25031</x:v>
      </x:c>
      <x:c r="H93" s="52" t="n">
        <x:f>'Riding comparison'!K93</x:f>
        <x:v>9448</x:v>
      </x:c>
      <x:c r="I93" s="52" t="n">
        <x:f>'Riding comparison'!L93</x:f>
        <x:v>12702</x:v>
      </x:c>
      <x:c r="J93" s="52" t="n">
        <x:f>'Riding comparison'!M93</x:f>
        <x:v>1729</x:v>
      </x:c>
      <x:c r="K93" s="52" t="n">
        <x:f>'Riding comparison'!N93</x:f>
        <x:v>1120</x:v>
      </x:c>
      <x:c r="L93" s="52" t="n">
        <x:f>'Riding comparison'!O93</x:f>
        <x:v>24999</x:v>
      </x:c>
      <x:c r="M93" s="52" t="n">
        <x:f>'Riding comparison'!P93</x:f>
        <x:v>25031</x:v>
      </x:c>
      <x:c r="N93" s="53" t="n">
        <x:f>H93-B93</x:f>
        <x:v>0</x:v>
      </x:c>
      <x:c r="O93" s="53" t="n">
        <x:f>I93-C93</x:f>
        <x:v>0</x:v>
      </x:c>
      <x:c r="P93" s="53" t="n">
        <x:f>J93-D93</x:f>
        <x:v>0</x:v>
      </x:c>
      <x:c r="Q93" s="53" t="n">
        <x:f>K93-E93</x:f>
        <x:v>0</x:v>
      </x:c>
      <x:c r="R93" s="53" t="n">
        <x:f>L93-F93</x:f>
        <x:v>0</x:v>
      </x:c>
      <x:c r="S93" s="53" t="n">
        <x:f>M93-G93</x:f>
        <x:v>0</x:v>
      </x:c>
      <x:c r="T93" t="str">
        <x:f>IF(COUNTIF(N93:S93,"&lt;&gt;0")=0,"UNCHANGED","UPDATED")</x:f>
        <x:v>UNCHANGED</x:v>
      </x:c>
      <x:c r="U93" t="str">
        <x:v>https://results.elections.bc.ca/</x:v>
      </x:c>
      <x:c r="V93" t="str">
        <x:v>https://results.elections.bc.ca/</x:v>
      </x:c>
    </x:row>
    <x:row r="94" ht="19" customHeight="1">
      <x:c r="A94" t="str">
        <x:v>Victoria-Beacon Hill</x:v>
      </x:c>
      <x:c r="B94" s="51" t="n">
        <x:v>10407</x:v>
      </x:c>
      <x:c r="C94" s="51" t="n">
        <x:v>3193</x:v>
      </x:c>
      <x:c r="D94" s="51" t="n">
        <x:v>9189</x:v>
      </x:c>
      <x:c r="E94" s="51" t="n">
        <x:v>0</x:v>
      </x:c>
      <x:c r="F94" s="51" t="n">
        <x:v>22789</x:v>
      </x:c>
      <x:c r="G94" s="51" t="n">
        <x:v>22888</x:v>
      </x:c>
      <x:c r="H94" s="52" t="n">
        <x:f>'Riding comparison'!K94</x:f>
        <x:v>10407</x:v>
      </x:c>
      <x:c r="I94" s="52" t="n">
        <x:f>'Riding comparison'!L94</x:f>
        <x:v>3193</x:v>
      </x:c>
      <x:c r="J94" s="52" t="n">
        <x:f>'Riding comparison'!M94</x:f>
        <x:v>9189</x:v>
      </x:c>
      <x:c r="K94" s="52" t="n">
        <x:f>'Riding comparison'!N94</x:f>
        <x:v>0</x:v>
      </x:c>
      <x:c r="L94" s="52" t="n">
        <x:f>'Riding comparison'!O94</x:f>
        <x:v>22789</x:v>
      </x:c>
      <x:c r="M94" s="52" t="n">
        <x:f>'Riding comparison'!P94</x:f>
        <x:v>22888</x:v>
      </x:c>
      <x:c r="N94" s="53" t="n">
        <x:f>H94-B94</x:f>
        <x:v>0</x:v>
      </x:c>
      <x:c r="O94" s="53" t="n">
        <x:f>I94-C94</x:f>
        <x:v>0</x:v>
      </x:c>
      <x:c r="P94" s="53" t="n">
        <x:f>J94-D94</x:f>
        <x:v>0</x:v>
      </x:c>
      <x:c r="Q94" s="53" t="n">
        <x:f>K94-E94</x:f>
        <x:v>0</x:v>
      </x:c>
      <x:c r="R94" s="53" t="n">
        <x:f>L94-F94</x:f>
        <x:v>0</x:v>
      </x:c>
      <x:c r="S94" s="53" t="n">
        <x:f>M94-G94</x:f>
        <x:v>0</x:v>
      </x:c>
      <x:c r="T94" t="str">
        <x:f>IF(COUNTIF(N94:S94,"&lt;&gt;0")=0,"UNCHANGED","UPDATED")</x:f>
        <x:v>UNCHANGED</x:v>
      </x:c>
      <x:c r="U94" t="str">
        <x:v>https://results.elections.bc.ca/</x:v>
      </x:c>
      <x:c r="V94" t="str">
        <x:v>https://results.elections.bc.ca/</x:v>
      </x:c>
    </x:row>
    <x:row r="95" ht="19" customHeight="1">
      <x:c r="A95" t="str">
        <x:v>Victoria-Swan Lake</x:v>
      </x:c>
      <x:c r="B95" s="51" t="n">
        <x:v>9250</x:v>
      </x:c>
      <x:c r="C95" s="51" t="n">
        <x:v>4475</x:v>
      </x:c>
      <x:c r="D95" s="51" t="n">
        <x:v>7470</x:v>
      </x:c>
      <x:c r="E95" s="51" t="n">
        <x:v>0</x:v>
      </x:c>
      <x:c r="F95" s="51" t="n">
        <x:v>21195</x:v>
      </x:c>
      <x:c r="G95" s="51" t="n">
        <x:v>21234</x:v>
      </x:c>
      <x:c r="H95" s="52" t="n">
        <x:f>'Riding comparison'!K95</x:f>
        <x:v>9250</x:v>
      </x:c>
      <x:c r="I95" s="52" t="n">
        <x:f>'Riding comparison'!L95</x:f>
        <x:v>4475</x:v>
      </x:c>
      <x:c r="J95" s="52" t="n">
        <x:f>'Riding comparison'!M95</x:f>
        <x:v>7470</x:v>
      </x:c>
      <x:c r="K95" s="52" t="n">
        <x:f>'Riding comparison'!N95</x:f>
        <x:v>0</x:v>
      </x:c>
      <x:c r="L95" s="52" t="n">
        <x:f>'Riding comparison'!O95</x:f>
        <x:v>21195</x:v>
      </x:c>
      <x:c r="M95" s="52" t="n">
        <x:f>'Riding comparison'!P95</x:f>
        <x:v>21234</x:v>
      </x:c>
      <x:c r="N95" s="53" t="n">
        <x:f>H95-B95</x:f>
        <x:v>0</x:v>
      </x:c>
      <x:c r="O95" s="53" t="n">
        <x:f>I95-C95</x:f>
        <x:v>0</x:v>
      </x:c>
      <x:c r="P95" s="53" t="n">
        <x:f>J95-D95</x:f>
        <x:v>0</x:v>
      </x:c>
      <x:c r="Q95" s="53" t="n">
        <x:f>K95-E95</x:f>
        <x:v>0</x:v>
      </x:c>
      <x:c r="R95" s="53" t="n">
        <x:f>L95-F95</x:f>
        <x:v>0</x:v>
      </x:c>
      <x:c r="S95" s="53" t="n">
        <x:f>M95-G95</x:f>
        <x:v>0</x:v>
      </x:c>
      <x:c r="T95" t="str">
        <x:f>IF(COUNTIF(N95:S95,"&lt;&gt;0")=0,"UNCHANGED","UPDATED")</x:f>
        <x:v>UNCHANGED</x:v>
      </x:c>
      <x:c r="U95" t="str">
        <x:v>https://results.elections.bc.ca/</x:v>
      </x:c>
      <x:c r="V95" t="str">
        <x:v>https://results.elections.bc.ca/</x:v>
      </x:c>
    </x:row>
    <x:row r="96" ht="19" customHeight="1">
      <x:c r="A96" t="str">
        <x:v>West Kelowna-Peachland</x:v>
      </x:c>
      <x:c r="B96" s="51" t="n">
        <x:v>6884</x:v>
      </x:c>
      <x:c r="C96" s="51" t="n">
        <x:v>14467</x:v>
      </x:c>
      <x:c r="D96" s="51" t="n">
        <x:v>1847</x:v>
      </x:c>
      <x:c r="E96" s="51" t="n">
        <x:v>0</x:v>
      </x:c>
      <x:c r="F96" s="51" t="n">
        <x:v>23198</x:v>
      </x:c>
      <x:c r="G96" s="51" t="n">
        <x:v>23248</x:v>
      </x:c>
      <x:c r="H96" s="52" t="n">
        <x:f>'Riding comparison'!K96</x:f>
        <x:v>6884</x:v>
      </x:c>
      <x:c r="I96" s="52" t="n">
        <x:f>'Riding comparison'!L96</x:f>
        <x:v>14467</x:v>
      </x:c>
      <x:c r="J96" s="52" t="n">
        <x:f>'Riding comparison'!M96</x:f>
        <x:v>1847</x:v>
      </x:c>
      <x:c r="K96" s="52" t="n">
        <x:f>'Riding comparison'!N96</x:f>
        <x:v>0</x:v>
      </x:c>
      <x:c r="L96" s="52" t="n">
        <x:f>'Riding comparison'!O96</x:f>
        <x:v>23198</x:v>
      </x:c>
      <x:c r="M96" s="52" t="n">
        <x:f>'Riding comparison'!P96</x:f>
        <x:v>23248</x:v>
      </x:c>
      <x:c r="N96" s="53" t="n">
        <x:f>H96-B96</x:f>
        <x:v>0</x:v>
      </x:c>
      <x:c r="O96" s="53" t="n">
        <x:f>I96-C96</x:f>
        <x:v>0</x:v>
      </x:c>
      <x:c r="P96" s="53" t="n">
        <x:f>J96-D96</x:f>
        <x:v>0</x:v>
      </x:c>
      <x:c r="Q96" s="53" t="n">
        <x:f>K96-E96</x:f>
        <x:v>0</x:v>
      </x:c>
      <x:c r="R96" s="53" t="n">
        <x:f>L96-F96</x:f>
        <x:v>0</x:v>
      </x:c>
      <x:c r="S96" s="53" t="n">
        <x:f>M96-G96</x:f>
        <x:v>0</x:v>
      </x:c>
      <x:c r="T96" t="str">
        <x:f>IF(COUNTIF(N96:S96,"&lt;&gt;0")=0,"UNCHANGED","UPDATED")</x:f>
        <x:v>UNCHANGED</x:v>
      </x:c>
      <x:c r="U96" t="str">
        <x:v>https://results.elections.bc.ca/</x:v>
      </x:c>
      <x:c r="V96" t="str">
        <x:v>https://results.elections.bc.ca/</x:v>
      </x:c>
    </x:row>
    <x:row r="97" ht="19" customHeight="1">
      <x:c r="A97" t="str">
        <x:v>West Vancouver-Capilano</x:v>
      </x:c>
      <x:c r="B97" s="51" t="n">
        <x:v>4493</x:v>
      </x:c>
      <x:c r="C97" s="51" t="n">
        <x:v>14628</x:v>
      </x:c>
      <x:c r="D97" s="51" t="n">
        <x:v>2360</x:v>
      </x:c>
      <x:c r="E97" s="51" t="n">
        <x:v>386</x:v>
      </x:c>
      <x:c r="F97" s="51" t="n">
        <x:v>21867</x:v>
      </x:c>
      <x:c r="G97" s="51" t="n">
        <x:v>21903</x:v>
      </x:c>
      <x:c r="H97" s="52" t="n">
        <x:f>'Riding comparison'!K97</x:f>
        <x:v>4493</x:v>
      </x:c>
      <x:c r="I97" s="52" t="n">
        <x:f>'Riding comparison'!L97</x:f>
        <x:v>14628</x:v>
      </x:c>
      <x:c r="J97" s="52" t="n">
        <x:f>'Riding comparison'!M97</x:f>
        <x:v>2360</x:v>
      </x:c>
      <x:c r="K97" s="52" t="n">
        <x:f>'Riding comparison'!N97</x:f>
        <x:v>386</x:v>
      </x:c>
      <x:c r="L97" s="52" t="n">
        <x:f>'Riding comparison'!O97</x:f>
        <x:v>21867</x:v>
      </x:c>
      <x:c r="M97" s="52" t="n">
        <x:f>'Riding comparison'!P97</x:f>
        <x:v>21903</x:v>
      </x:c>
      <x:c r="N97" s="53" t="n">
        <x:f>H97-B97</x:f>
        <x:v>0</x:v>
      </x:c>
      <x:c r="O97" s="53" t="n">
        <x:f>I97-C97</x:f>
        <x:v>0</x:v>
      </x:c>
      <x:c r="P97" s="53" t="n">
        <x:f>J97-D97</x:f>
        <x:v>0</x:v>
      </x:c>
      <x:c r="Q97" s="53" t="n">
        <x:f>K97-E97</x:f>
        <x:v>0</x:v>
      </x:c>
      <x:c r="R97" s="53" t="n">
        <x:f>L97-F97</x:f>
        <x:v>0</x:v>
      </x:c>
      <x:c r="S97" s="53" t="n">
        <x:f>M97-G97</x:f>
        <x:v>0</x:v>
      </x:c>
      <x:c r="T97" t="str">
        <x:f>IF(COUNTIF(N97:S97,"&lt;&gt;0")=0,"UNCHANGED","UPDATED")</x:f>
        <x:v>UNCHANGED</x:v>
      </x:c>
      <x:c r="U97" t="str">
        <x:v>https://results.elections.bc.ca/</x:v>
      </x:c>
      <x:c r="V97" t="str">
        <x:v>https://results.elections.bc.ca/</x:v>
      </x:c>
    </x:row>
    <x:row r="98" ht="19" customHeight="1">
      <x:c r="A98" t="str">
        <x:v>West Vancouver-Sea to Sky</x:v>
      </x:c>
      <x:c r="B98" s="51" t="n">
        <x:v>2283</x:v>
      </x:c>
      <x:c r="C98" s="51" t="n">
        <x:v>8478</x:v>
      </x:c>
      <x:c r="D98" s="51" t="n">
        <x:v>10503</x:v>
      </x:c>
      <x:c r="E98" s="51" t="n">
        <x:v>818</x:v>
      </x:c>
      <x:c r="F98" s="51" t="n">
        <x:v>22082</x:v>
      </x:c>
      <x:c r="G98" s="51" t="n">
        <x:v>22104</x:v>
      </x:c>
      <x:c r="H98" s="52" t="n">
        <x:f>'Riding comparison'!K98</x:f>
        <x:v>2283</x:v>
      </x:c>
      <x:c r="I98" s="52" t="n">
        <x:f>'Riding comparison'!L98</x:f>
        <x:v>8478</x:v>
      </x:c>
      <x:c r="J98" s="52" t="n">
        <x:f>'Riding comparison'!M98</x:f>
        <x:v>10503</x:v>
      </x:c>
      <x:c r="K98" s="52" t="n">
        <x:f>'Riding comparison'!N98</x:f>
        <x:v>818</x:v>
      </x:c>
      <x:c r="L98" s="52" t="n">
        <x:f>'Riding comparison'!O98</x:f>
        <x:v>22082</x:v>
      </x:c>
      <x:c r="M98" s="52" t="n">
        <x:f>'Riding comparison'!P98</x:f>
        <x:v>22104</x:v>
      </x:c>
      <x:c r="N98" s="53" t="n">
        <x:f>H98-B98</x:f>
        <x:v>0</x:v>
      </x:c>
      <x:c r="O98" s="53" t="n">
        <x:f>I98-C98</x:f>
        <x:v>0</x:v>
      </x:c>
      <x:c r="P98" s="53" t="n">
        <x:f>J98-D98</x:f>
        <x:v>0</x:v>
      </x:c>
      <x:c r="Q98" s="53" t="n">
        <x:f>K98-E98</x:f>
        <x:v>0</x:v>
      </x:c>
      <x:c r="R98" s="53" t="n">
        <x:f>L98-F98</x:f>
        <x:v>0</x:v>
      </x:c>
      <x:c r="S98" s="53" t="n">
        <x:f>M98-G98</x:f>
        <x:v>0</x:v>
      </x:c>
      <x:c r="T98" t="str">
        <x:f>IF(COUNTIF(N98:S98,"&lt;&gt;0")=0,"UNCHANGED","UPDATED")</x:f>
        <x:v>UNCHANGED</x:v>
      </x:c>
      <x:c r="U98" t="str">
        <x:v>https://results.elections.bc.ca/</x:v>
      </x:c>
      <x:c r="V98" t="str">
        <x:v>https://results.elections.bc.ca/</x:v>
      </x:c>
    </x:row>
    <x:row r="100" ht="23" customHeight="1">
      <x:c r="A100" s="54" t="str">
        <x:v>Check date</x:v>
      </x:c>
      <x:c r="B100" s="54" t="str">
        <x:v>Data timestamp</x:v>
      </x:c>
      <x:c r="C100" s="54" t="str">
        <x:v>Changed ridings</x:v>
      </x:c>
      <x:c r="D100" s="54" t="str">
        <x:v>Check result</x:v>
      </x:c>
    </x:row>
    <x:row r="101" ht="23" customHeight="1">
      <x:c r="A101" t="str">
        <x:v>2026-10-27</x:v>
      </x:c>
      <x:c r="B101" t="str">
        <x:v>2026-10-26 10:34</x:v>
      </x:c>
      <x:c r="C101" t="n">
        <x:f>COUNTIF(T6:T98,"UPDATED")</x:f>
        <x:v>0</x:v>
      </x:c>
      <x:c r="D101" t="str">
        <x:v>No new release</x:v>
      </x:c>
    </x:row>
    <x:row r="102" ht="23" customHeight="1">
      <x:c r="A102" t="str">
        <x:v>Final count</x:v>
      </x:c>
      <x:c r="B102" t="str">
        <x:v>6-10 Nov 2026</x:v>
      </x:c>
      <x:c r="C102"/>
      <x:c r="D102" t="str">
        <x:v>Planned, not yet published</x:v>
      </x:c>
    </x:row>
    <x:row r="103" ht="23" customHeight="1">
      <x:c r="A103" t="str">
        <x:v>Caveat</x:v>
      </x:c>
      <x:c r="B103" t="str">
        <x:v>Any new ballot counts may alter close seats</x:v>
      </x:c>
      <x:c r="C103"/>
      <x:c r="D103" t="str">
        <x:v>Not certified</x:v>
      </x:c>
    </x:row>
  </x:sheetData>
  <x:mergeCells>
    <x:mergeCell ref="A1:V1"/>
    <x:mergeCell ref="A2:V2"/>
    <x:mergeCell ref="A3:V3"/>
  </x:mergeCells>
  <x:conditionalFormatting sqref="N6:S98">
    <x:cfRule type="cellIs" dxfId="1" priority="1" operator="notEqual">
      <x:formula>0</x:formula>
    </x:cfRule>
  </x:conditionalFormatting>
  <x:pageMargins left="0.7" right="0.7" top="0.75" bottom="0.75" header="0.3" footer="0.3"/>
</x:worksheet>
</file>